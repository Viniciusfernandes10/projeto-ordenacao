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showInkAnnotation="0" autoCompressPictures="0" defaultThemeVersion="166925"/>
  <xr:revisionPtr revIDLastSave="0" documentId="8_{694903EE-EA2A-43BD-9E82-0BF4E42E405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mo" sheetId="1" r:id="rId1"/>
    <sheet name="Bolha" sheetId="2" r:id="rId2"/>
    <sheet name="Bolha_Melhorado" sheetId="3" r:id="rId3"/>
    <sheet name="Inserção" sheetId="5" r:id="rId4"/>
    <sheet name="Inserção_Melhorado" sheetId="6" r:id="rId5"/>
    <sheet name="Seleção" sheetId="8" r:id="rId6"/>
    <sheet name="Seleção_Melhorada" sheetId="7" r:id="rId7"/>
  </sheets>
  <calcPr calcId="191028" refMode="R1C1" iterateDelta="1E-4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B14" i="2"/>
  <c r="F30" i="5"/>
  <c r="C9" i="1"/>
  <c r="F30" i="8"/>
  <c r="E30" i="8"/>
  <c r="F31" i="8"/>
  <c r="F32" i="8"/>
  <c r="F33" i="8"/>
  <c r="F34" i="8"/>
  <c r="F35" i="8"/>
  <c r="F36" i="8"/>
  <c r="F37" i="8"/>
  <c r="F38" i="8"/>
  <c r="F39" i="8"/>
  <c r="E31" i="8"/>
  <c r="E32" i="8"/>
  <c r="E33" i="8"/>
  <c r="E34" i="8"/>
  <c r="E35" i="8"/>
  <c r="E36" i="8"/>
  <c r="E37" i="8"/>
  <c r="E38" i="8"/>
  <c r="E39" i="8"/>
  <c r="F4" i="3"/>
  <c r="E4" i="3"/>
  <c r="E4" i="2"/>
  <c r="F31" i="3"/>
  <c r="F32" i="3"/>
  <c r="F33" i="3"/>
  <c r="F34" i="3"/>
  <c r="F35" i="3"/>
  <c r="F36" i="3"/>
  <c r="F37" i="3"/>
  <c r="F38" i="3"/>
  <c r="F39" i="3"/>
  <c r="E31" i="3"/>
  <c r="E32" i="3"/>
  <c r="E33" i="3"/>
  <c r="E34" i="3"/>
  <c r="E35" i="3"/>
  <c r="E36" i="3"/>
  <c r="E37" i="3"/>
  <c r="E38" i="3"/>
  <c r="E39" i="3"/>
  <c r="F18" i="3"/>
  <c r="F19" i="3"/>
  <c r="F20" i="3"/>
  <c r="F21" i="3"/>
  <c r="F22" i="3"/>
  <c r="F23" i="3"/>
  <c r="F24" i="3"/>
  <c r="F25" i="3"/>
  <c r="F26" i="3"/>
  <c r="E18" i="3"/>
  <c r="E19" i="3"/>
  <c r="E20" i="3"/>
  <c r="E21" i="3"/>
  <c r="E22" i="3"/>
  <c r="E23" i="3"/>
  <c r="E24" i="3"/>
  <c r="E25" i="3"/>
  <c r="E26" i="3"/>
  <c r="C14" i="3"/>
  <c r="D14" i="3"/>
  <c r="B31" i="1"/>
  <c r="B30" i="1"/>
  <c r="B29" i="1"/>
  <c r="B21" i="1"/>
  <c r="B20" i="1"/>
  <c r="F19" i="1"/>
  <c r="E19" i="1"/>
  <c r="D19" i="1"/>
  <c r="C19" i="1"/>
  <c r="B19" i="1"/>
  <c r="B16" i="1"/>
  <c r="B15" i="1"/>
  <c r="F14" i="1"/>
  <c r="E14" i="1"/>
  <c r="D14" i="1"/>
  <c r="C14" i="1"/>
  <c r="B14" i="1"/>
  <c r="B4" i="1"/>
  <c r="D9" i="1"/>
  <c r="E30" i="2"/>
  <c r="F32" i="7"/>
  <c r="F33" i="7"/>
  <c r="F34" i="7"/>
  <c r="F35" i="7"/>
  <c r="F36" i="7"/>
  <c r="F37" i="7"/>
  <c r="F38" i="7"/>
  <c r="F39" i="7"/>
  <c r="E31" i="7"/>
  <c r="E32" i="7"/>
  <c r="E33" i="7"/>
  <c r="E34" i="7"/>
  <c r="E35" i="7"/>
  <c r="E36" i="7"/>
  <c r="E37" i="7"/>
  <c r="E38" i="7"/>
  <c r="E39" i="7"/>
  <c r="E26" i="7"/>
  <c r="F18" i="7"/>
  <c r="F19" i="7"/>
  <c r="F20" i="7"/>
  <c r="F21" i="7"/>
  <c r="F22" i="7"/>
  <c r="F23" i="7"/>
  <c r="F24" i="7"/>
  <c r="F25" i="7"/>
  <c r="F26" i="7"/>
  <c r="E18" i="7"/>
  <c r="E19" i="7"/>
  <c r="E20" i="7"/>
  <c r="E21" i="7"/>
  <c r="E22" i="7"/>
  <c r="E23" i="7"/>
  <c r="E24" i="7"/>
  <c r="E25" i="7"/>
  <c r="F5" i="7"/>
  <c r="F6" i="7"/>
  <c r="F7" i="7"/>
  <c r="F8" i="7"/>
  <c r="F9" i="7"/>
  <c r="F10" i="7"/>
  <c r="F11" i="7"/>
  <c r="F12" i="7"/>
  <c r="F13" i="7"/>
  <c r="E5" i="7"/>
  <c r="E6" i="7"/>
  <c r="E7" i="7"/>
  <c r="E8" i="7"/>
  <c r="E9" i="7"/>
  <c r="E10" i="7"/>
  <c r="E11" i="7"/>
  <c r="E12" i="7"/>
  <c r="E13" i="7"/>
  <c r="F31" i="6"/>
  <c r="F32" i="6"/>
  <c r="F33" i="6"/>
  <c r="F34" i="6"/>
  <c r="F35" i="6"/>
  <c r="F36" i="6"/>
  <c r="F37" i="6"/>
  <c r="F38" i="6"/>
  <c r="F39" i="6"/>
  <c r="E33" i="6"/>
  <c r="E34" i="6"/>
  <c r="E35" i="6"/>
  <c r="E36" i="6"/>
  <c r="E37" i="6"/>
  <c r="E38" i="6"/>
  <c r="E39" i="6"/>
  <c r="F18" i="6"/>
  <c r="F19" i="6"/>
  <c r="F20" i="6"/>
  <c r="F21" i="6"/>
  <c r="F22" i="6"/>
  <c r="F23" i="6"/>
  <c r="F24" i="6"/>
  <c r="F25" i="6"/>
  <c r="F26" i="6"/>
  <c r="E18" i="6"/>
  <c r="E19" i="6"/>
  <c r="E20" i="6"/>
  <c r="E21" i="6"/>
  <c r="E22" i="6"/>
  <c r="E23" i="6"/>
  <c r="E24" i="6"/>
  <c r="E25" i="6"/>
  <c r="E26" i="6"/>
  <c r="E4" i="6"/>
  <c r="F5" i="6"/>
  <c r="F6" i="6"/>
  <c r="F7" i="6"/>
  <c r="F8" i="6"/>
  <c r="F9" i="6"/>
  <c r="F10" i="6"/>
  <c r="F11" i="6"/>
  <c r="F12" i="6"/>
  <c r="F13" i="6"/>
  <c r="E5" i="6"/>
  <c r="E6" i="6"/>
  <c r="E7" i="6"/>
  <c r="E8" i="6"/>
  <c r="E9" i="6"/>
  <c r="E10" i="6"/>
  <c r="E11" i="6"/>
  <c r="E12" i="6"/>
  <c r="E13" i="6"/>
  <c r="A35" i="5"/>
  <c r="F31" i="5"/>
  <c r="F32" i="5"/>
  <c r="F33" i="5"/>
  <c r="F34" i="5"/>
  <c r="F35" i="5"/>
  <c r="F36" i="5"/>
  <c r="F37" i="5"/>
  <c r="F38" i="5"/>
  <c r="F39" i="5"/>
  <c r="E31" i="5"/>
  <c r="E32" i="5"/>
  <c r="E33" i="5"/>
  <c r="E34" i="5"/>
  <c r="E35" i="5"/>
  <c r="E36" i="5"/>
  <c r="E37" i="5"/>
  <c r="E38" i="5"/>
  <c r="E39" i="5"/>
  <c r="E30" i="5"/>
  <c r="F18" i="5"/>
  <c r="F19" i="5"/>
  <c r="F20" i="5"/>
  <c r="F21" i="5"/>
  <c r="F22" i="5"/>
  <c r="F23" i="5"/>
  <c r="F24" i="5"/>
  <c r="F25" i="5"/>
  <c r="F26" i="5"/>
  <c r="E18" i="5"/>
  <c r="E19" i="5"/>
  <c r="E20" i="5"/>
  <c r="E21" i="5"/>
  <c r="E22" i="5"/>
  <c r="E23" i="5"/>
  <c r="E24" i="5"/>
  <c r="E25" i="5"/>
  <c r="E26" i="5"/>
  <c r="F5" i="5"/>
  <c r="F6" i="5"/>
  <c r="F7" i="5"/>
  <c r="F8" i="5"/>
  <c r="F9" i="5"/>
  <c r="F10" i="5"/>
  <c r="F11" i="5"/>
  <c r="F12" i="5"/>
  <c r="F13" i="5"/>
  <c r="E5" i="5"/>
  <c r="E6" i="5"/>
  <c r="E7" i="5"/>
  <c r="E8" i="5"/>
  <c r="E9" i="5"/>
  <c r="E10" i="5"/>
  <c r="E11" i="5"/>
  <c r="E12" i="5"/>
  <c r="E13" i="5"/>
  <c r="E18" i="8"/>
  <c r="E19" i="8"/>
  <c r="E20" i="8"/>
  <c r="E21" i="8"/>
  <c r="E22" i="8"/>
  <c r="E23" i="8"/>
  <c r="E24" i="8"/>
  <c r="E25" i="8"/>
  <c r="E26" i="8"/>
  <c r="F18" i="8"/>
  <c r="F19" i="8"/>
  <c r="F20" i="8"/>
  <c r="F21" i="8"/>
  <c r="F22" i="8"/>
  <c r="F23" i="8"/>
  <c r="F24" i="8"/>
  <c r="F25" i="8"/>
  <c r="F26" i="8"/>
  <c r="F5" i="8"/>
  <c r="F6" i="8"/>
  <c r="F7" i="8"/>
  <c r="F8" i="8"/>
  <c r="F9" i="8"/>
  <c r="F10" i="8"/>
  <c r="F11" i="8"/>
  <c r="F12" i="8"/>
  <c r="F13" i="8"/>
  <c r="E5" i="8"/>
  <c r="E6" i="8"/>
  <c r="E7" i="8"/>
  <c r="E8" i="8"/>
  <c r="E9" i="8"/>
  <c r="E10" i="8"/>
  <c r="E11" i="8"/>
  <c r="E12" i="8"/>
  <c r="E13" i="8"/>
  <c r="F31" i="2"/>
  <c r="F32" i="2"/>
  <c r="F33" i="2"/>
  <c r="F34" i="2"/>
  <c r="F35" i="2"/>
  <c r="F36" i="2"/>
  <c r="F37" i="2"/>
  <c r="F38" i="2"/>
  <c r="F39" i="2"/>
  <c r="E31" i="2"/>
  <c r="E32" i="2"/>
  <c r="E33" i="2"/>
  <c r="E34" i="2"/>
  <c r="E35" i="2"/>
  <c r="E36" i="2"/>
  <c r="E37" i="2"/>
  <c r="E38" i="2"/>
  <c r="E39" i="2"/>
  <c r="D40" i="8"/>
  <c r="C40" i="8"/>
  <c r="C26" i="1" s="1"/>
  <c r="B40" i="8"/>
  <c r="B26" i="1" s="1"/>
  <c r="A33" i="8"/>
  <c r="A34" i="8" s="1"/>
  <c r="A35" i="8" s="1"/>
  <c r="A36" i="8" s="1"/>
  <c r="A37" i="8" s="1"/>
  <c r="A38" i="8" s="1"/>
  <c r="A39" i="8" s="1"/>
  <c r="E40" i="8"/>
  <c r="E26" i="1" s="1"/>
  <c r="D27" i="8"/>
  <c r="D25" i="1" s="1"/>
  <c r="C27" i="8"/>
  <c r="C25" i="1" s="1"/>
  <c r="B27" i="8"/>
  <c r="B25" i="1" s="1"/>
  <c r="A20" i="8"/>
  <c r="A21" i="8" s="1"/>
  <c r="A22" i="8" s="1"/>
  <c r="A23" i="8" s="1"/>
  <c r="A24" i="8" s="1"/>
  <c r="A25" i="8" s="1"/>
  <c r="A26" i="8" s="1"/>
  <c r="F17" i="8"/>
  <c r="F27" i="8" s="1"/>
  <c r="F25" i="1" s="1"/>
  <c r="E17" i="8"/>
  <c r="E27" i="8" s="1"/>
  <c r="E25" i="1" s="1"/>
  <c r="D14" i="8"/>
  <c r="D24" i="1" s="1"/>
  <c r="C14" i="8"/>
  <c r="C24" i="1" s="1"/>
  <c r="B14" i="8"/>
  <c r="B24" i="1" s="1"/>
  <c r="A7" i="8"/>
  <c r="A8" i="8" s="1"/>
  <c r="A9" i="8" s="1"/>
  <c r="A10" i="8" s="1"/>
  <c r="A11" i="8" s="1"/>
  <c r="A12" i="8" s="1"/>
  <c r="A13" i="8" s="1"/>
  <c r="F4" i="8"/>
  <c r="F14" i="8" s="1"/>
  <c r="F24" i="1" s="1"/>
  <c r="E4" i="8"/>
  <c r="E14" i="8" s="1"/>
  <c r="E24" i="1" s="1"/>
  <c r="D40" i="7"/>
  <c r="D31" i="1" s="1"/>
  <c r="C40" i="7"/>
  <c r="C31" i="1" s="1"/>
  <c r="B40" i="7"/>
  <c r="A33" i="7"/>
  <c r="A34" i="7" s="1"/>
  <c r="A35" i="7" s="1"/>
  <c r="A36" i="7" s="1"/>
  <c r="A37" i="7" s="1"/>
  <c r="A38" i="7" s="1"/>
  <c r="A39" i="7" s="1"/>
  <c r="F31" i="7"/>
  <c r="F30" i="7"/>
  <c r="F40" i="7" s="1"/>
  <c r="F31" i="1" s="1"/>
  <c r="E30" i="7"/>
  <c r="E40" i="7" s="1"/>
  <c r="E31" i="1" s="1"/>
  <c r="D27" i="7"/>
  <c r="D30" i="1" s="1"/>
  <c r="C27" i="7"/>
  <c r="C30" i="1" s="1"/>
  <c r="B27" i="7"/>
  <c r="A20" i="7"/>
  <c r="A21" i="7" s="1"/>
  <c r="A22" i="7" s="1"/>
  <c r="A23" i="7" s="1"/>
  <c r="A24" i="7" s="1"/>
  <c r="A25" i="7" s="1"/>
  <c r="A26" i="7" s="1"/>
  <c r="F17" i="7"/>
  <c r="F27" i="7" s="1"/>
  <c r="F30" i="1" s="1"/>
  <c r="E17" i="7"/>
  <c r="E27" i="7" s="1"/>
  <c r="E30" i="1" s="1"/>
  <c r="D14" i="7"/>
  <c r="D29" i="1" s="1"/>
  <c r="C14" i="7"/>
  <c r="C29" i="1" s="1"/>
  <c r="B14" i="7"/>
  <c r="A7" i="7"/>
  <c r="A8" i="7" s="1"/>
  <c r="A9" i="7" s="1"/>
  <c r="A10" i="7" s="1"/>
  <c r="A11" i="7" s="1"/>
  <c r="A12" i="7" s="1"/>
  <c r="A13" i="7" s="1"/>
  <c r="F4" i="7"/>
  <c r="F14" i="7" s="1"/>
  <c r="F29" i="1" s="1"/>
  <c r="E4" i="7"/>
  <c r="E14" i="7" s="1"/>
  <c r="E29" i="1" s="1"/>
  <c r="D40" i="6"/>
  <c r="D21" i="1" s="1"/>
  <c r="C40" i="6"/>
  <c r="C21" i="1" s="1"/>
  <c r="B40" i="6"/>
  <c r="A33" i="6"/>
  <c r="A34" i="6" s="1"/>
  <c r="A35" i="6" s="1"/>
  <c r="A36" i="6" s="1"/>
  <c r="A37" i="6" s="1"/>
  <c r="A38" i="6" s="1"/>
  <c r="A39" i="6" s="1"/>
  <c r="E32" i="6"/>
  <c r="E31" i="6"/>
  <c r="F30" i="6"/>
  <c r="F40" i="6" s="1"/>
  <c r="F21" i="1" s="1"/>
  <c r="E30" i="6"/>
  <c r="E40" i="6" s="1"/>
  <c r="E21" i="1" s="1"/>
  <c r="D27" i="6"/>
  <c r="D20" i="1" s="1"/>
  <c r="C27" i="6"/>
  <c r="C20" i="1" s="1"/>
  <c r="B27" i="6"/>
  <c r="A20" i="6"/>
  <c r="A21" i="6" s="1"/>
  <c r="A22" i="6" s="1"/>
  <c r="A23" i="6" s="1"/>
  <c r="A24" i="6" s="1"/>
  <c r="A25" i="6" s="1"/>
  <c r="A26" i="6" s="1"/>
  <c r="F17" i="6"/>
  <c r="F27" i="6" s="1"/>
  <c r="F20" i="1" s="1"/>
  <c r="E17" i="6"/>
  <c r="E27" i="6" s="1"/>
  <c r="E20" i="1" s="1"/>
  <c r="D14" i="6"/>
  <c r="C14" i="6"/>
  <c r="B14" i="6"/>
  <c r="A7" i="6"/>
  <c r="A8" i="6" s="1"/>
  <c r="A9" i="6" s="1"/>
  <c r="A10" i="6" s="1"/>
  <c r="A11" i="6" s="1"/>
  <c r="A12" i="6" s="1"/>
  <c r="A13" i="6" s="1"/>
  <c r="F4" i="6"/>
  <c r="F14" i="6" s="1"/>
  <c r="E14" i="6"/>
  <c r="D40" i="5"/>
  <c r="D16" i="1" s="1"/>
  <c r="C40" i="5"/>
  <c r="C16" i="1" s="1"/>
  <c r="B40" i="5"/>
  <c r="A33" i="5"/>
  <c r="A34" i="5" s="1"/>
  <c r="A36" i="5" s="1"/>
  <c r="A37" i="5" s="1"/>
  <c r="A38" i="5" s="1"/>
  <c r="A39" i="5" s="1"/>
  <c r="D27" i="5"/>
  <c r="D15" i="1" s="1"/>
  <c r="C27" i="5"/>
  <c r="C15" i="1" s="1"/>
  <c r="B27" i="5"/>
  <c r="A20" i="5"/>
  <c r="A21" i="5" s="1"/>
  <c r="A22" i="5" s="1"/>
  <c r="A23" i="5" s="1"/>
  <c r="A24" i="5" s="1"/>
  <c r="A25" i="5" s="1"/>
  <c r="A26" i="5" s="1"/>
  <c r="F17" i="5"/>
  <c r="F27" i="5" s="1"/>
  <c r="F15" i="1" s="1"/>
  <c r="E17" i="5"/>
  <c r="E27" i="5" s="1"/>
  <c r="E15" i="1" s="1"/>
  <c r="D14" i="5"/>
  <c r="C14" i="5"/>
  <c r="B14" i="5"/>
  <c r="A7" i="5"/>
  <c r="A8" i="5" s="1"/>
  <c r="A9" i="5" s="1"/>
  <c r="A10" i="5" s="1"/>
  <c r="A11" i="5" s="1"/>
  <c r="A12" i="5" s="1"/>
  <c r="A13" i="5" s="1"/>
  <c r="F4" i="5"/>
  <c r="F14" i="5" s="1"/>
  <c r="E4" i="5"/>
  <c r="E14" i="5" s="1"/>
  <c r="D40" i="3"/>
  <c r="D11" i="1" s="1"/>
  <c r="C40" i="3"/>
  <c r="C11" i="1" s="1"/>
  <c r="B40" i="3"/>
  <c r="B11" i="1" s="1"/>
  <c r="A33" i="3"/>
  <c r="A34" i="3" s="1"/>
  <c r="A35" i="3" s="1"/>
  <c r="A36" i="3" s="1"/>
  <c r="A37" i="3" s="1"/>
  <c r="A38" i="3" s="1"/>
  <c r="A39" i="3" s="1"/>
  <c r="F30" i="3"/>
  <c r="F40" i="3" s="1"/>
  <c r="F11" i="1" s="1"/>
  <c r="E30" i="3"/>
  <c r="E40" i="3" s="1"/>
  <c r="E11" i="1" s="1"/>
  <c r="D27" i="3"/>
  <c r="D10" i="1" s="1"/>
  <c r="C27" i="3"/>
  <c r="C10" i="1" s="1"/>
  <c r="B27" i="3"/>
  <c r="B10" i="1" s="1"/>
  <c r="A20" i="3"/>
  <c r="A21" i="3" s="1"/>
  <c r="A22" i="3" s="1"/>
  <c r="A23" i="3" s="1"/>
  <c r="A24" i="3" s="1"/>
  <c r="A25" i="3" s="1"/>
  <c r="A26" i="3" s="1"/>
  <c r="F17" i="3"/>
  <c r="F27" i="3" s="1"/>
  <c r="F10" i="1" s="1"/>
  <c r="E17" i="3"/>
  <c r="E27" i="3" s="1"/>
  <c r="E10" i="1" s="1"/>
  <c r="B14" i="3"/>
  <c r="B9" i="1" s="1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A7" i="3"/>
  <c r="A8" i="3" s="1"/>
  <c r="A9" i="3" s="1"/>
  <c r="A10" i="3" s="1"/>
  <c r="A11" i="3" s="1"/>
  <c r="A12" i="3" s="1"/>
  <c r="A13" i="3" s="1"/>
  <c r="F6" i="3"/>
  <c r="E6" i="3"/>
  <c r="F5" i="3"/>
  <c r="E5" i="3"/>
  <c r="F14" i="3"/>
  <c r="F9" i="1" s="1"/>
  <c r="D40" i="2"/>
  <c r="D6" i="1" s="1"/>
  <c r="C40" i="2"/>
  <c r="B40" i="2"/>
  <c r="B6" i="1" s="1"/>
  <c r="A33" i="2"/>
  <c r="A34" i="2" s="1"/>
  <c r="A35" i="2" s="1"/>
  <c r="A36" i="2" s="1"/>
  <c r="A37" i="2" s="1"/>
  <c r="A38" i="2" s="1"/>
  <c r="A39" i="2" s="1"/>
  <c r="F30" i="2"/>
  <c r="F40" i="2" s="1"/>
  <c r="F6" i="1" s="1"/>
  <c r="E40" i="2"/>
  <c r="E6" i="1" s="1"/>
  <c r="D27" i="2"/>
  <c r="D5" i="1" s="1"/>
  <c r="C27" i="2"/>
  <c r="C5" i="1" s="1"/>
  <c r="B27" i="2"/>
  <c r="B5" i="1" s="1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A20" i="2"/>
  <c r="A21" i="2" s="1"/>
  <c r="A22" i="2" s="1"/>
  <c r="A23" i="2" s="1"/>
  <c r="A24" i="2" s="1"/>
  <c r="A25" i="2" s="1"/>
  <c r="A26" i="2" s="1"/>
  <c r="F19" i="2"/>
  <c r="E19" i="2"/>
  <c r="F18" i="2"/>
  <c r="E18" i="2"/>
  <c r="F17" i="2"/>
  <c r="F27" i="2" s="1"/>
  <c r="F5" i="1" s="1"/>
  <c r="E17" i="2"/>
  <c r="E27" i="2" s="1"/>
  <c r="E5" i="1" s="1"/>
  <c r="D14" i="2"/>
  <c r="D4" i="1" s="1"/>
  <c r="C14" i="2"/>
  <c r="C4" i="1" s="1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A7" i="2"/>
  <c r="A8" i="2" s="1"/>
  <c r="A9" i="2" s="1"/>
  <c r="A10" i="2" s="1"/>
  <c r="A11" i="2" s="1"/>
  <c r="A12" i="2" s="1"/>
  <c r="A13" i="2" s="1"/>
  <c r="F6" i="2"/>
  <c r="E6" i="2"/>
  <c r="F5" i="2"/>
  <c r="E5" i="2"/>
  <c r="F4" i="2"/>
  <c r="F14" i="2" s="1"/>
  <c r="F4" i="1" s="1"/>
  <c r="E14" i="2"/>
  <c r="E4" i="1" s="1"/>
  <c r="F40" i="8" l="1"/>
  <c r="F26" i="1" s="1"/>
  <c r="D26" i="1"/>
  <c r="F40" i="5"/>
  <c r="F16" i="1" s="1"/>
  <c r="E40" i="5"/>
  <c r="E16" i="1" s="1"/>
  <c r="E14" i="3"/>
  <c r="E9" i="1" s="1"/>
</calcChain>
</file>

<file path=xl/sharedStrings.xml><?xml version="1.0" encoding="utf-8"?>
<sst xmlns="http://schemas.openxmlformats.org/spreadsheetml/2006/main" count="68" uniqueCount="16">
  <si>
    <t>N</t>
  </si>
  <si>
    <t>Energia</t>
  </si>
  <si>
    <t>Tempo Exe</t>
  </si>
  <si>
    <t>Tempo CPU</t>
  </si>
  <si>
    <t>Potência Exe</t>
  </si>
  <si>
    <t>Potência CPU</t>
  </si>
  <si>
    <t>Bolha</t>
  </si>
  <si>
    <t>Bolha Melhorado</t>
  </si>
  <si>
    <t xml:space="preserve"> </t>
  </si>
  <si>
    <t>Inserção</t>
  </si>
  <si>
    <t>Inserção_Melhorado</t>
  </si>
  <si>
    <t>Seleção</t>
  </si>
  <si>
    <t>Seleção_Melhorada</t>
  </si>
  <si>
    <t xml:space="preserve">                </t>
  </si>
  <si>
    <t>ID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</si>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</sst>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sz val="10"/>
      <color rgb="FFCC0000"/>
      <name val="Arial"/>
    </font>
    <font>
      <b/>
      <sz val="10"/>
      <color rgb="FFFFFFFF"/>
      <name val="Arial"/>
    </font>
    <font>
      <i/>
      <sz val="10"/>
      <color rgb="FF808080"/>
      <name val="Arial"/>
    </font>
    <font>
      <sz val="10"/>
      <color rgb="FF006600"/>
      <name val="Arial"/>
    </font>
    <font>
      <b/>
      <sz val="24"/>
      <color rgb="FF000000"/>
      <name val="Arial"/>
    </font>
    <font>
      <sz val="18"/>
      <color rgb="FF000000"/>
      <name val="Arial"/>
    </font>
    <font>
      <sz val="12"/>
      <color rgb="FF000000"/>
      <name val="Arial"/>
    </font>
    <font>
      <u/>
      <sz val="10"/>
      <color rgb="FF0000EE"/>
      <name val="Arial"/>
    </font>
    <font>
      <sz val="10"/>
      <color rgb="FF996600"/>
      <name val="Arial"/>
    </font>
    <font>
      <sz val="10"/>
      <color rgb="FF333333"/>
      <name val="Arial"/>
    </font>
    <font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/>
    <xf numFmtId="0" fontId="1" fillId="0" borderId="0" applyNumberFormat="0" applyBorder="0" applyProtection="0"/>
    <xf numFmtId="0" fontId="2" fillId="2" borderId="0" applyNumberFormat="0" applyBorder="0" applyProtection="0"/>
    <xf numFmtId="0" fontId="2" fillId="3" borderId="0" applyNumberFormat="0" applyBorder="0" applyProtection="0"/>
    <xf numFmtId="0" fontId="1" fillId="4" borderId="0" applyNumberFormat="0" applyBorder="0" applyProtection="0"/>
    <xf numFmtId="0" fontId="3" fillId="5" borderId="0" applyNumberFormat="0" applyBorder="0" applyProtection="0"/>
    <xf numFmtId="0" fontId="4" fillId="6" borderId="0" applyNumberFormat="0" applyBorder="0" applyProtection="0"/>
    <xf numFmtId="0" fontId="5" fillId="0" borderId="0" applyNumberFormat="0" applyBorder="0" applyProtection="0"/>
    <xf numFmtId="0" fontId="6" fillId="7" borderId="0" applyNumberFormat="0" applyBorder="0" applyProtection="0"/>
    <xf numFmtId="0" fontId="7" fillId="0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13" fillId="0" borderId="0" applyNumberFormat="0" applyBorder="0" applyProtection="0"/>
    <xf numFmtId="0" fontId="13" fillId="0" borderId="0" applyNumberFormat="0" applyBorder="0" applyProtection="0"/>
    <xf numFmtId="0" fontId="3" fillId="0" borderId="0" applyNumberFormat="0" applyBorder="0" applyProtection="0"/>
  </cellStyleXfs>
  <cellXfs count="29">
    <xf numFmtId="0" fontId="0" fillId="0" borderId="0" xfId="0"/>
    <xf numFmtId="0" fontId="0" fillId="0" borderId="0" xfId="0" applyAlignment="1"/>
    <xf numFmtId="0" fontId="0" fillId="9" borderId="0" xfId="0" applyFill="1" applyAlignment="1"/>
    <xf numFmtId="0" fontId="0" fillId="10" borderId="0" xfId="0" applyFill="1" applyAlignment="1"/>
    <xf numFmtId="0" fontId="0" fillId="11" borderId="0" xfId="0" applyFill="1" applyAlignment="1"/>
    <xf numFmtId="0" fontId="0" fillId="12" borderId="0" xfId="0" applyFill="1" applyAlignment="1"/>
    <xf numFmtId="0" fontId="0" fillId="9" borderId="0" xfId="0" applyFill="1"/>
    <xf numFmtId="0" fontId="0" fillId="13" borderId="0" xfId="0" applyFont="1" applyFill="1" applyAlignment="1"/>
    <xf numFmtId="0" fontId="0" fillId="14" borderId="0" xfId="0" applyFill="1" applyAlignment="1"/>
    <xf numFmtId="2" fontId="0" fillId="9" borderId="0" xfId="0" applyNumberFormat="1" applyFill="1" applyAlignment="1"/>
    <xf numFmtId="2" fontId="0" fillId="9" borderId="0" xfId="0" applyNumberFormat="1" applyFill="1"/>
    <xf numFmtId="2" fontId="0" fillId="10" borderId="0" xfId="0" applyNumberFormat="1" applyFill="1" applyAlignment="1"/>
    <xf numFmtId="2" fontId="0" fillId="10" borderId="0" xfId="0" applyNumberFormat="1" applyFill="1"/>
    <xf numFmtId="2" fontId="0" fillId="11" borderId="0" xfId="0" applyNumberFormat="1" applyFill="1" applyAlignment="1"/>
    <xf numFmtId="2" fontId="0" fillId="11" borderId="0" xfId="0" applyNumberFormat="1" applyFill="1"/>
    <xf numFmtId="2" fontId="0" fillId="12" borderId="0" xfId="0" applyNumberFormat="1" applyFill="1" applyAlignment="1"/>
    <xf numFmtId="2" fontId="0" fillId="12" borderId="0" xfId="0" applyNumberFormat="1" applyFill="1"/>
    <xf numFmtId="2" fontId="0" fillId="13" borderId="0" xfId="0" applyNumberFormat="1" applyFont="1" applyFill="1" applyAlignment="1"/>
    <xf numFmtId="2" fontId="0" fillId="13" borderId="0" xfId="0" applyNumberFormat="1" applyFont="1" applyFill="1"/>
    <xf numFmtId="2" fontId="0" fillId="14" borderId="0" xfId="0" applyNumberFormat="1" applyFill="1" applyAlignment="1"/>
    <xf numFmtId="2" fontId="0" fillId="14" borderId="0" xfId="0" applyNumberFormat="1" applyFill="1"/>
    <xf numFmtId="2" fontId="0" fillId="0" borderId="0" xfId="0" applyNumberFormat="1"/>
    <xf numFmtId="0" fontId="0" fillId="0" borderId="0" xfId="0" applyAlignment="1">
      <alignment readingOrder="1"/>
    </xf>
    <xf numFmtId="0" fontId="0" fillId="14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ont="1" applyFill="1" applyAlignment="1">
      <alignment horizontal="center"/>
    </xf>
  </cellXfs>
  <cellStyles count="18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Footnote" xfId="7" xr:uid="{00000000-0005-0000-0000-000006000000}"/>
    <cellStyle name="Good" xfId="8" xr:uid="{00000000-0005-0000-0000-000007000000}"/>
    <cellStyle name="Heading" xfId="9" xr:uid="{00000000-0005-0000-0000-000008000000}"/>
    <cellStyle name="Heading 1" xfId="10" xr:uid="{00000000-0005-0000-0000-000009000000}"/>
    <cellStyle name="Heading 2" xfId="11" xr:uid="{00000000-0005-0000-0000-00000A000000}"/>
    <cellStyle name="Hyperlink" xfId="12" xr:uid="{00000000-0005-0000-0000-00000B000000}"/>
    <cellStyle name="Neutral" xfId="13" xr:uid="{00000000-0005-0000-0000-00000C000000}"/>
    <cellStyle name="Normal" xfId="0" builtinId="0" customBuiltin="1"/>
    <cellStyle name="Note" xfId="14" xr:uid="{00000000-0005-0000-0000-00000E000000}"/>
    <cellStyle name="Status" xfId="15" xr:uid="{00000000-0005-0000-0000-00000F000000}"/>
    <cellStyle name="Text" xfId="16" xr:uid="{00000000-0005-0000-0000-000010000000}"/>
    <cellStyle name="Warning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{"BOLHA"}</c:f>
              <c:strCache>
                <c:ptCount val="1"/>
                <c:pt idx="0">
                  <c:v>BOLHA</c:v>
                </c:pt>
              </c:strCache>
            </c:strRef>
          </c:tx>
          <c:spPr>
            <a:solidFill>
              <a:srgbClr val="44546A"/>
            </a:solidFill>
            <a:ln>
              <a:noFill/>
            </a:ln>
            <a:effectLst/>
          </c:spPr>
          <c:invertIfNegative val="0"/>
          <c:val>
            <c:numRef>
              <c:f>Resumo!B4:B6</c:f>
              <c:numCache>
                <c:formatCode>0.00</c:formatCode>
                <c:ptCount val="3"/>
                <c:pt idx="0">
                  <c:v>554.93600000000004</c:v>
                </c:pt>
                <c:pt idx="1">
                  <c:v>2356.3409999999999</c:v>
                </c:pt>
                <c:pt idx="2">
                  <c:v>14340.363000000001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BC-485E-B54A-F8C8C3AC5C30}"/>
            </c:ext>
          </c:extLst>
        </c:ser>
        <c:ser>
          <c:idx val="1"/>
          <c:order val="1"/>
          <c:tx>
            <c:strRef>
              <c:f>{"BOLHA MELHORADO"}</c:f>
              <c:strCache>
                <c:ptCount val="1"/>
                <c:pt idx="0">
                  <c:v>BOLHA MELHORADO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Resumo!B9:B11</c:f>
              <c:numCache>
                <c:formatCode>0.00</c:formatCode>
                <c:ptCount val="3"/>
                <c:pt idx="0">
                  <c:v>341.22699999999998</c:v>
                </c:pt>
                <c:pt idx="1">
                  <c:v>1339.817</c:v>
                </c:pt>
                <c:pt idx="2">
                  <c:v>8355.1759999999995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BC-485E-B54A-F8C8C3AC5C30}"/>
            </c:ext>
          </c:extLst>
        </c:ser>
        <c:ser>
          <c:idx val="2"/>
          <c:order val="2"/>
          <c:tx>
            <c:strRef>
              <c:f>{"INSERÇÃO"}</c:f>
              <c:strCache>
                <c:ptCount val="1"/>
                <c:pt idx="0">
                  <c:v>INSERÇÃO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Resumo!B14:B16</c:f>
              <c:numCache>
                <c:formatCode>0.00</c:formatCode>
                <c:ptCount val="3"/>
                <c:pt idx="0">
                  <c:v>234.286</c:v>
                </c:pt>
                <c:pt idx="1">
                  <c:v>951.97099999999989</c:v>
                </c:pt>
                <c:pt idx="2">
                  <c:v>5982.5259999999998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FBC-485E-B54A-F8C8C3AC5C30}"/>
            </c:ext>
          </c:extLst>
        </c:ser>
        <c:ser>
          <c:idx val="3"/>
          <c:order val="3"/>
          <c:tx>
            <c:strRef>
              <c:f>{"INSERÇÃO MELHORADA"}</c:f>
              <c:strCache>
                <c:ptCount val="1"/>
                <c:pt idx="0">
                  <c:v>INSERÇÃO MELHORADA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Resumo!B19:B21</c:f>
              <c:numCache>
                <c:formatCode>0.00</c:formatCode>
                <c:ptCount val="3"/>
                <c:pt idx="0">
                  <c:v>152.47300000000001</c:v>
                </c:pt>
                <c:pt idx="1">
                  <c:v>591.7299999999999</c:v>
                </c:pt>
                <c:pt idx="2">
                  <c:v>4071.8959999999997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FBC-485E-B54A-F8C8C3AC5C30}"/>
            </c:ext>
          </c:extLst>
        </c:ser>
        <c:ser>
          <c:idx val="4"/>
          <c:order val="4"/>
          <c:tx>
            <c:strRef>
              <c:f>{"SELEÇÃO"}</c:f>
              <c:strCache>
                <c:ptCount val="1"/>
                <c:pt idx="0">
                  <c:v>SELEÇÃO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Resumo!B24:B26</c:f>
              <c:numCache>
                <c:formatCode>0.00</c:formatCode>
                <c:ptCount val="3"/>
                <c:pt idx="0">
                  <c:v>58.754999999999995</c:v>
                </c:pt>
                <c:pt idx="1">
                  <c:v>234.88399999999996</c:v>
                </c:pt>
                <c:pt idx="2">
                  <c:v>1505.1079999999999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FBC-485E-B54A-F8C8C3AC5C30}"/>
            </c:ext>
          </c:extLst>
        </c:ser>
        <c:ser>
          <c:idx val="5"/>
          <c:order val="5"/>
          <c:tx>
            <c:strRef>
              <c:f>{"SELEÇÃO MELHORADA"}</c:f>
              <c:strCache>
                <c:ptCount val="1"/>
                <c:pt idx="0">
                  <c:v>SELEÇÃO MELHORADA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Resumo!B29:B31</c:f>
              <c:numCache>
                <c:formatCode>0.00</c:formatCode>
                <c:ptCount val="3"/>
                <c:pt idx="0">
                  <c:v>2.2640000000000002</c:v>
                </c:pt>
                <c:pt idx="1">
                  <c:v>3.8959999999999995</c:v>
                </c:pt>
                <c:pt idx="2">
                  <c:v>9.2309999999999999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FBC-485E-B54A-F8C8C3AC5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0655751"/>
        <c:axId val="2130657799"/>
      </c:barChart>
      <c:catAx>
        <c:axId val="2130655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657799"/>
        <c:crosses val="autoZero"/>
        <c:auto val="1"/>
        <c:lblAlgn val="ctr"/>
        <c:lblOffset val="100"/>
        <c:noMultiLvlLbl val="0"/>
      </c:catAx>
      <c:valAx>
        <c:axId val="2130657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655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DE EXECUÇÃO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{"BOLHA"}</c:f>
              <c:strCache>
                <c:ptCount val="1"/>
                <c:pt idx="0">
                  <c:v>BOLHA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Resumo!$C$4:$C$6</c:f>
              <c:numCache>
                <c:formatCode>0.00</c:formatCode>
                <c:ptCount val="3"/>
                <c:pt idx="0">
                  <c:v>18.2310396297</c:v>
                </c:pt>
                <c:pt idx="1">
                  <c:v>74.934148941800004</c:v>
                </c:pt>
                <c:pt idx="2">
                  <c:v>455.56389142410001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D1-48C2-9043-731F2C6D3A07}"/>
            </c:ext>
          </c:extLst>
        </c:ser>
        <c:ser>
          <c:idx val="1"/>
          <c:order val="1"/>
          <c:tx>
            <c:strRef>
              <c:f>{"BOLHA MELHORADO"}</c:f>
              <c:strCache>
                <c:ptCount val="1"/>
                <c:pt idx="0">
                  <c:v>BOLHA MELHORADO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Resumo!C9:C11</c:f>
              <c:numCache>
                <c:formatCode>0.00</c:formatCode>
                <c:ptCount val="3"/>
                <c:pt idx="0">
                  <c:v>11.0294861948</c:v>
                </c:pt>
                <c:pt idx="1">
                  <c:v>43.208074484899996</c:v>
                </c:pt>
                <c:pt idx="2">
                  <c:v>270.30058369030002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D1-48C2-9043-731F2C6D3A07}"/>
            </c:ext>
          </c:extLst>
        </c:ser>
        <c:ser>
          <c:idx val="2"/>
          <c:order val="2"/>
          <c:tx>
            <c:strRef>
              <c:f>{"INSERÇÃO"}</c:f>
              <c:strCache>
                <c:ptCount val="1"/>
                <c:pt idx="0">
                  <c:v>INSERÇÃO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Resumo!C14:C16</c:f>
              <c:numCache>
                <c:formatCode>0.00</c:formatCode>
                <c:ptCount val="3"/>
                <c:pt idx="0">
                  <c:v>7.5847469999000001</c:v>
                </c:pt>
                <c:pt idx="1">
                  <c:v>30.748385043099994</c:v>
                </c:pt>
                <c:pt idx="2">
                  <c:v>192.48123750790003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D1-48C2-9043-731F2C6D3A07}"/>
            </c:ext>
          </c:extLst>
        </c:ser>
        <c:ser>
          <c:idx val="3"/>
          <c:order val="3"/>
          <c:tx>
            <c:strRef>
              <c:f>{"INSERÇÃO MELHORADA"}</c:f>
              <c:strCache>
                <c:ptCount val="1"/>
                <c:pt idx="0">
                  <c:v>INSERÇÃO MELHORADA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Resumo!C19:C21</c:f>
              <c:numCache>
                <c:formatCode>0.00</c:formatCode>
                <c:ptCount val="3"/>
                <c:pt idx="0">
                  <c:v>4.9812846959000003</c:v>
                </c:pt>
                <c:pt idx="1">
                  <c:v>19.2697320304</c:v>
                </c:pt>
                <c:pt idx="2">
                  <c:v>128.61213679799999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D1-48C2-9043-731F2C6D3A07}"/>
            </c:ext>
          </c:extLst>
        </c:ser>
        <c:ser>
          <c:idx val="4"/>
          <c:order val="4"/>
          <c:tx>
            <c:strRef>
              <c:f>{"SELEÇÃO "}</c:f>
              <c:strCache>
                <c:ptCount val="1"/>
                <c:pt idx="0">
                  <c:v>SELEÇÃO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Resumo!C24:C26</c:f>
              <c:numCache>
                <c:formatCode>0.00</c:formatCode>
                <c:ptCount val="3"/>
                <c:pt idx="0">
                  <c:v>1.8570803542000003</c:v>
                </c:pt>
                <c:pt idx="1">
                  <c:v>7.4342559415</c:v>
                </c:pt>
                <c:pt idx="2">
                  <c:v>47.111841021899998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BD1-48C2-9043-731F2C6D3A07}"/>
            </c:ext>
          </c:extLst>
        </c:ser>
        <c:ser>
          <c:idx val="5"/>
          <c:order val="5"/>
          <c:tx>
            <c:strRef>
              <c:f>{"SELEÇÃO MELHORADA"}</c:f>
              <c:strCache>
                <c:ptCount val="1"/>
                <c:pt idx="0">
                  <c:v>SELEÇÃO MELHORADA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Resumo!C29:C31</c:f>
              <c:numCache>
                <c:formatCode>0.00</c:formatCode>
                <c:ptCount val="3"/>
                <c:pt idx="0">
                  <c:v>6.9570003899999996E-2</c:v>
                </c:pt>
                <c:pt idx="1">
                  <c:v>0.1192033908</c:v>
                </c:pt>
                <c:pt idx="2">
                  <c:v>0.28375420560000003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D1-48C2-9043-731F2C6D3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8154887"/>
        <c:axId val="1868156935"/>
      </c:barChart>
      <c:catAx>
        <c:axId val="1868154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156935"/>
        <c:crosses val="autoZero"/>
        <c:auto val="1"/>
        <c:lblAlgn val="ctr"/>
        <c:lblOffset val="100"/>
        <c:noMultiLvlLbl val="0"/>
      </c:catAx>
      <c:valAx>
        <c:axId val="1868156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154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DE CPU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{"BOLHA"}</c:f>
              <c:strCache>
                <c:ptCount val="1"/>
                <c:pt idx="0">
                  <c:v>BOLHA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Resumo!$D$4:$D$6</c:f>
              <c:numCache>
                <c:formatCode>0.00</c:formatCode>
                <c:ptCount val="3"/>
                <c:pt idx="0">
                  <c:v>18.21179777</c:v>
                </c:pt>
                <c:pt idx="1">
                  <c:v>74.915597700000006</c:v>
                </c:pt>
                <c:pt idx="2">
                  <c:v>455.49996679999992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1F-4385-9AB1-368F5ADD2D3F}"/>
            </c:ext>
          </c:extLst>
        </c:ser>
        <c:ser>
          <c:idx val="1"/>
          <c:order val="1"/>
          <c:tx>
            <c:strRef>
              <c:f>{"BOLHA MELHORADA"}</c:f>
              <c:strCache>
                <c:ptCount val="1"/>
                <c:pt idx="0">
                  <c:v>BOLHA MELHORADA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Resumo!D9:D11</c:f>
              <c:numCache>
                <c:formatCode>0.00</c:formatCode>
                <c:ptCount val="3"/>
                <c:pt idx="0">
                  <c:v>11.012193900000002</c:v>
                </c:pt>
                <c:pt idx="1">
                  <c:v>43.190345999999991</c:v>
                </c:pt>
                <c:pt idx="2">
                  <c:v>270.24537036099997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1F-4385-9AB1-368F5ADD2D3F}"/>
            </c:ext>
          </c:extLst>
        </c:ser>
        <c:ser>
          <c:idx val="2"/>
          <c:order val="2"/>
          <c:tx>
            <c:strRef>
              <c:f>{"INSERÇÃO "}</c:f>
              <c:strCache>
                <c:ptCount val="1"/>
                <c:pt idx="0">
                  <c:v>INSERÇÃO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Resumo!D14:D16</c:f>
              <c:numCache>
                <c:formatCode>0.00</c:formatCode>
                <c:ptCount val="3"/>
                <c:pt idx="0">
                  <c:v>7.5684433000000002</c:v>
                </c:pt>
                <c:pt idx="1">
                  <c:v>30.734036500000002</c:v>
                </c:pt>
                <c:pt idx="2">
                  <c:v>192.42763010000002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1F-4385-9AB1-368F5ADD2D3F}"/>
            </c:ext>
          </c:extLst>
        </c:ser>
        <c:ser>
          <c:idx val="3"/>
          <c:order val="3"/>
          <c:tx>
            <c:strRef>
              <c:f>{"INSERÇÃO MELHORADA"}</c:f>
              <c:strCache>
                <c:ptCount val="1"/>
                <c:pt idx="0">
                  <c:v>INSERÇÃO MELHORADA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Resumo!D19:D21</c:f>
              <c:numCache>
                <c:formatCode>0.00</c:formatCode>
                <c:ptCount val="3"/>
                <c:pt idx="0">
                  <c:v>4.9676939999999998</c:v>
                </c:pt>
                <c:pt idx="1">
                  <c:v>19.250911285000001</c:v>
                </c:pt>
                <c:pt idx="2">
                  <c:v>128.57957549999998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1F-4385-9AB1-368F5ADD2D3F}"/>
            </c:ext>
          </c:extLst>
        </c:ser>
        <c:ser>
          <c:idx val="4"/>
          <c:order val="4"/>
          <c:tx>
            <c:strRef>
              <c:f>{"SELEÇÃO"}</c:f>
              <c:strCache>
                <c:ptCount val="1"/>
                <c:pt idx="0">
                  <c:v>SELEÇÃO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Resumo!D24:D26</c:f>
              <c:numCache>
                <c:formatCode>0.00</c:formatCode>
                <c:ptCount val="3"/>
                <c:pt idx="0">
                  <c:v>1.8449361</c:v>
                </c:pt>
                <c:pt idx="1">
                  <c:v>7.4208129006999997</c:v>
                </c:pt>
                <c:pt idx="2">
                  <c:v>47.087878500000002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1F-4385-9AB1-368F5ADD2D3F}"/>
            </c:ext>
          </c:extLst>
        </c:ser>
        <c:ser>
          <c:idx val="5"/>
          <c:order val="5"/>
          <c:tx>
            <c:strRef>
              <c:f>{"SELEÇÃO MELHORADA"}</c:f>
              <c:strCache>
                <c:ptCount val="1"/>
                <c:pt idx="0">
                  <c:v>SELEÇÃO MELHORADA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Resumo!D29:D31</c:f>
              <c:numCache>
                <c:formatCode>0.00</c:formatCode>
                <c:ptCount val="3"/>
                <c:pt idx="0">
                  <c:v>5.8932999999999992E-2</c:v>
                </c:pt>
                <c:pt idx="1">
                  <c:v>0.10742890000000001</c:v>
                </c:pt>
                <c:pt idx="2">
                  <c:v>0.2646655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41F-4385-9AB1-368F5ADD2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914119"/>
        <c:axId val="2013916167"/>
      </c:barChart>
      <c:catAx>
        <c:axId val="2013914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16167"/>
        <c:crosses val="autoZero"/>
        <c:auto val="1"/>
        <c:lblAlgn val="ctr"/>
        <c:lblOffset val="100"/>
        <c:noMultiLvlLbl val="0"/>
      </c:catAx>
      <c:valAx>
        <c:axId val="2013916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14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POTÊNCIA DE EXECUÇÃO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{"BOLHA"}</c:f>
              <c:strCache>
                <c:ptCount val="1"/>
                <c:pt idx="0">
                  <c:v>BOLHA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Resumo!$E$4:$E$6</c:f>
              <c:numCache>
                <c:formatCode>0.00</c:formatCode>
                <c:ptCount val="3"/>
                <c:pt idx="0">
                  <c:v>30.430032412657852</c:v>
                </c:pt>
                <c:pt idx="1">
                  <c:v>31.443988483299499</c:v>
                </c:pt>
                <c:pt idx="2">
                  <c:v>31.480140924147086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D5-4AA4-929C-5C619DC868DB}"/>
            </c:ext>
          </c:extLst>
        </c:ser>
        <c:ser>
          <c:idx val="1"/>
          <c:order val="1"/>
          <c:tx>
            <c:strRef>
              <c:f>{"BOLHA MELHORADA"}</c:f>
              <c:strCache>
                <c:ptCount val="1"/>
                <c:pt idx="0">
                  <c:v>BOLHA MELHORADA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Resumo!E9:E11</c:f>
              <c:numCache>
                <c:formatCode>0.00</c:formatCode>
                <c:ptCount val="3"/>
                <c:pt idx="0">
                  <c:v>30.940570315817979</c:v>
                </c:pt>
                <c:pt idx="1">
                  <c:v>31.010365149778334</c:v>
                </c:pt>
                <c:pt idx="2">
                  <c:v>30.919026245754914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D5-4AA4-929C-5C619DC868DB}"/>
            </c:ext>
          </c:extLst>
        </c:ser>
        <c:ser>
          <c:idx val="2"/>
          <c:order val="2"/>
          <c:tx>
            <c:strRef>
              <c:f>{"INSERÇÃO "}</c:f>
              <c:strCache>
                <c:ptCount val="1"/>
                <c:pt idx="0">
                  <c:v>INSERÇÃO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Resumo!E14:E16</c:f>
              <c:numCache>
                <c:formatCode>0.00</c:formatCode>
                <c:ptCount val="3"/>
                <c:pt idx="0">
                  <c:v>30.889038093746013</c:v>
                </c:pt>
                <c:pt idx="1">
                  <c:v>30.957625031668734</c:v>
                </c:pt>
                <c:pt idx="2">
                  <c:v>31.08108653839291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D5-4AA4-929C-5C619DC868DB}"/>
            </c:ext>
          </c:extLst>
        </c:ser>
        <c:ser>
          <c:idx val="3"/>
          <c:order val="3"/>
          <c:tx>
            <c:strRef>
              <c:f>{"INSERÇÃO MELHORADA"}</c:f>
              <c:strCache>
                <c:ptCount val="1"/>
                <c:pt idx="0">
                  <c:v>INSERÇÃO MELHORADA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Resumo!E19:E21</c:f>
              <c:numCache>
                <c:formatCode>0.00</c:formatCode>
                <c:ptCount val="3"/>
                <c:pt idx="0">
                  <c:v>30.610246714714208</c:v>
                </c:pt>
                <c:pt idx="1">
                  <c:v>30.708487219033351</c:v>
                </c:pt>
                <c:pt idx="2">
                  <c:v>31.675047000296995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D5-4AA4-929C-5C619DC868DB}"/>
            </c:ext>
          </c:extLst>
        </c:ser>
        <c:ser>
          <c:idx val="4"/>
          <c:order val="4"/>
          <c:tx>
            <c:strRef>
              <c:f>{"SELEÇÃO"}</c:f>
              <c:strCache>
                <c:ptCount val="1"/>
                <c:pt idx="0">
                  <c:v>SELEÇÃO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Resumo!E24:E26</c:f>
              <c:numCache>
                <c:formatCode>0.00</c:formatCode>
                <c:ptCount val="3"/>
                <c:pt idx="0">
                  <c:v>31.637627359140517</c:v>
                </c:pt>
                <c:pt idx="1">
                  <c:v>31.595396502457362</c:v>
                </c:pt>
                <c:pt idx="2">
                  <c:v>31.92502485071811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5-4AA4-929C-5C619DC868DB}"/>
            </c:ext>
          </c:extLst>
        </c:ser>
        <c:ser>
          <c:idx val="5"/>
          <c:order val="5"/>
          <c:tx>
            <c:strRef>
              <c:f>{"SELEÇÃO MELHORADA"}</c:f>
              <c:strCache>
                <c:ptCount val="1"/>
                <c:pt idx="0">
                  <c:v>SELEÇÃO MELHORADA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Resumo!E29:E31</c:f>
              <c:numCache>
                <c:formatCode>0.00</c:formatCode>
                <c:ptCount val="3"/>
                <c:pt idx="0">
                  <c:v>32.568385398168417</c:v>
                </c:pt>
                <c:pt idx="1">
                  <c:v>32.621200999719811</c:v>
                </c:pt>
                <c:pt idx="2">
                  <c:v>32.485427384369991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D5-4AA4-929C-5C619DC86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3100295"/>
        <c:axId val="1953102343"/>
      </c:barChart>
      <c:catAx>
        <c:axId val="1953100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102343"/>
        <c:crosses val="autoZero"/>
        <c:auto val="1"/>
        <c:lblAlgn val="ctr"/>
        <c:lblOffset val="100"/>
        <c:noMultiLvlLbl val="0"/>
      </c:catAx>
      <c:valAx>
        <c:axId val="1953102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100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POTÊNCIA DE CPU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BOLHA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Resumo!$F$4:$F$6</c:f>
              <c:numCache>
                <c:formatCode>0.00</c:formatCode>
                <c:ptCount val="3"/>
                <c:pt idx="0">
                  <c:v>30.462343897903253</c:v>
                </c:pt>
                <c:pt idx="1">
                  <c:v>31.451921170891133</c:v>
                </c:pt>
                <c:pt idx="2">
                  <c:v>31.484535228949358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49-442A-8671-95178DA9A038}"/>
            </c:ext>
          </c:extLst>
        </c:ser>
        <c:ser>
          <c:idx val="1"/>
          <c:order val="1"/>
          <c:tx>
            <c:v>BOLHA MEHORADA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Resumo!F9:F11</c:f>
              <c:numCache>
                <c:formatCode>0.00</c:formatCode>
                <c:ptCount val="3"/>
                <c:pt idx="0">
                  <c:v>30.989137263334221</c:v>
                </c:pt>
                <c:pt idx="1">
                  <c:v>31.02320041159814</c:v>
                </c:pt>
                <c:pt idx="2">
                  <c:v>30.925246926262503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49-442A-8671-95178DA9A038}"/>
            </c:ext>
          </c:extLst>
        </c:ser>
        <c:ser>
          <c:idx val="2"/>
          <c:order val="2"/>
          <c:tx>
            <c:v>INSERÇÃO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Resumo!F14:F16</c:f>
              <c:numCache>
                <c:formatCode>0.00</c:formatCode>
                <c:ptCount val="3"/>
                <c:pt idx="0">
                  <c:v>30.955275886420321</c:v>
                </c:pt>
                <c:pt idx="1">
                  <c:v>30.972014708513949</c:v>
                </c:pt>
                <c:pt idx="2">
                  <c:v>31.089745255871129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49-442A-8671-95178DA9A038}"/>
            </c:ext>
          </c:extLst>
        </c:ser>
        <c:ser>
          <c:idx val="3"/>
          <c:order val="3"/>
          <c:tx>
            <c:v>INSERÇÃO MELHORADA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Resumo!F19:F21</c:f>
              <c:numCache>
                <c:formatCode>0.00</c:formatCode>
                <c:ptCount val="3"/>
                <c:pt idx="0">
                  <c:v>30.694065207801305</c:v>
                </c:pt>
                <c:pt idx="1">
                  <c:v>30.738372769164208</c:v>
                </c:pt>
                <c:pt idx="2">
                  <c:v>31.683176644806213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49-442A-8671-95178DA9A038}"/>
            </c:ext>
          </c:extLst>
        </c:ser>
        <c:ser>
          <c:idx val="4"/>
          <c:order val="4"/>
          <c:tx>
            <c:v>SELEÇÃO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Resumo!F24:F26</c:f>
              <c:numCache>
                <c:formatCode>0.00</c:formatCode>
                <c:ptCount val="3"/>
                <c:pt idx="0">
                  <c:v>31.846140178311213</c:v>
                </c:pt>
                <c:pt idx="1">
                  <c:v>31.652863801763004</c:v>
                </c:pt>
                <c:pt idx="2">
                  <c:v>31.96380996438393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49-442A-8671-95178DA9A038}"/>
            </c:ext>
          </c:extLst>
        </c:ser>
        <c:ser>
          <c:idx val="5"/>
          <c:order val="5"/>
          <c:tx>
            <c:v>SELEÇÃO MELHORADA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Resumo!F29:F31</c:f>
              <c:numCache>
                <c:formatCode>0.00</c:formatCode>
                <c:ptCount val="3"/>
                <c:pt idx="0">
                  <c:v>38.603805337786746</c:v>
                </c:pt>
                <c:pt idx="1">
                  <c:v>36.308300527711154</c:v>
                </c:pt>
                <c:pt idx="2">
                  <c:v>34.835551643628335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749-442A-8671-95178DA9A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334087"/>
        <c:axId val="1694689799"/>
      </c:lineChart>
      <c:catAx>
        <c:axId val="1580334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89799"/>
        <c:crosses val="autoZero"/>
        <c:auto val="1"/>
        <c:lblAlgn val="ctr"/>
        <c:lblOffset val="100"/>
        <c:noMultiLvlLbl val="0"/>
      </c:catAx>
      <c:valAx>
        <c:axId val="1694689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334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781050</xdr:colOff>
      <xdr:row>0</xdr:row>
      <xdr:rowOff>0</xdr:rowOff>
    </xdr:from>
    <xdr:to>
      <xdr:col>13</xdr:col>
      <xdr:colOff>76200</xdr:colOff>
      <xdr:row>18</xdr:row>
      <xdr:rowOff>28575</xdr:rowOff>
    </xdr:to>
    <xdr:graphicFrame macro="">
      <xdr:nvGraphicFramePr>
        <xdr:cNvPr id="13" name="Gráfico 6">
          <a:extLst>
            <a:ext uri="{FF2B5EF4-FFF2-40B4-BE49-F238E27FC236}">
              <a16:creationId xmlns:a16="http://schemas.microsoft.com/office/drawing/2014/main" id="{CC8C1E31-1FC5-212C-0DFA-A70732DEE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847725</xdr:colOff>
      <xdr:row>18</xdr:row>
      <xdr:rowOff>142875</xdr:rowOff>
    </xdr:from>
    <xdr:to>
      <xdr:col>13</xdr:col>
      <xdr:colOff>123825</xdr:colOff>
      <xdr:row>35</xdr:row>
      <xdr:rowOff>104775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15FFEF9-DB7C-2874-1DA0-B27E88EDC5A3}"/>
            </a:ext>
            <a:ext uri="{147F2762-F138-4A5C-976F-8EAC2B608ADB}">
              <a16:predDERef xmlns:a16="http://schemas.microsoft.com/office/drawing/2014/main" pred="{CC8C1E31-1FC5-212C-0DFA-A70732DEE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161925</xdr:colOff>
      <xdr:row>0</xdr:row>
      <xdr:rowOff>0</xdr:rowOff>
    </xdr:from>
    <xdr:to>
      <xdr:col>19</xdr:col>
      <xdr:colOff>352425</xdr:colOff>
      <xdr:row>18</xdr:row>
      <xdr:rowOff>19050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E6AF386C-9652-8784-5DFB-6BD8D2060A2B}"/>
            </a:ext>
            <a:ext uri="{147F2762-F138-4A5C-976F-8EAC2B608ADB}">
              <a16:predDERef xmlns:a16="http://schemas.microsoft.com/office/drawing/2014/main" pred="{C15FFEF9-DB7C-2874-1DA0-B27E88EDC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180975</xdr:colOff>
      <xdr:row>18</xdr:row>
      <xdr:rowOff>142875</xdr:rowOff>
    </xdr:from>
    <xdr:to>
      <xdr:col>19</xdr:col>
      <xdr:colOff>400050</xdr:colOff>
      <xdr:row>35</xdr:row>
      <xdr:rowOff>123825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5B947F25-2471-E897-69C5-C969DC280B2C}"/>
            </a:ext>
            <a:ext uri="{147F2762-F138-4A5C-976F-8EAC2B608ADB}">
              <a16:predDERef xmlns:a16="http://schemas.microsoft.com/office/drawing/2014/main" pred="{E6AF386C-9652-8784-5DFB-6BD8D2060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390525</xdr:colOff>
      <xdr:row>35</xdr:row>
      <xdr:rowOff>161925</xdr:rowOff>
    </xdr:from>
    <xdr:to>
      <xdr:col>16</xdr:col>
      <xdr:colOff>276225</xdr:colOff>
      <xdr:row>53</xdr:row>
      <xdr:rowOff>38100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F114B11E-14D0-ECE9-EA69-698226609D60}"/>
            </a:ext>
            <a:ext uri="{147F2762-F138-4A5C-976F-8EAC2B608ADB}">
              <a16:predDERef xmlns:a16="http://schemas.microsoft.com/office/drawing/2014/main" pred="{5B947F25-2471-E897-69C5-C969DC280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1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259E7F8C-357A-422A-90AC-77E50854E4C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ae7a2e0-d5dc-454c-8b0c-224c3161633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C3ECED8-26BE-44F2-8615-0525EB3AEF2E}">
  <we:reference id="wa200010215" version="2.0.0.1" store="en-US" storeType="omex"/>
  <we:alternateReferences>
    <we:reference id="wa200010215" version="2.0.0.1" store="en-US" storeType="omex"/>
  </we:alternateReferences>
  <we:properties>
    <we:property name="bps.codex_control.document_id" value="&quot;2542a1ac-1c9f-429f-8e7b-16ac4a40cae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53E50701-7533-478B-A75A-E468582626AA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bmWwbU1qdc5_lubY2GhnT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4"/>
  <sheetViews>
    <sheetView tabSelected="1" zoomScaleNormal="100" zoomScaleSheetLayoutView="100" workbookViewId="0">
      <selection activeCell="V36" sqref="V36"/>
    </sheetView>
  </sheetViews>
  <sheetFormatPr defaultRowHeight="15.75" customHeight="1"/>
  <cols>
    <col min="1" max="1024" width="11.75" customWidth="1"/>
    <col min="1025" max="1025" width="9" customWidth="1"/>
  </cols>
  <sheetData>
    <row r="1" spans="1:38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38" ht="14.25">
      <c r="A3" s="24" t="s">
        <v>6</v>
      </c>
      <c r="B3" s="24"/>
      <c r="C3" s="24"/>
      <c r="D3" s="24"/>
      <c r="E3" s="24"/>
      <c r="F3" s="24"/>
    </row>
    <row r="4" spans="1:38" ht="14.25">
      <c r="A4" s="2">
        <v>10000</v>
      </c>
      <c r="B4" s="9">
        <f>Bolha!B14</f>
        <v>554.93600000000004</v>
      </c>
      <c r="C4" s="9">
        <f>Bolha!C14</f>
        <v>18.2310396297</v>
      </c>
      <c r="D4" s="9">
        <f>Bolha!D14</f>
        <v>18.21179777</v>
      </c>
      <c r="E4" s="9">
        <f>Bolha!E14</f>
        <v>30.430032412657852</v>
      </c>
      <c r="F4" s="9">
        <f>Bolha!F14</f>
        <v>30.462343897903253</v>
      </c>
    </row>
    <row r="5" spans="1:38" ht="14.25">
      <c r="A5" s="2">
        <v>20000</v>
      </c>
      <c r="B5" s="9">
        <f>Bolha!B27</f>
        <v>2356.3409999999999</v>
      </c>
      <c r="C5" s="9">
        <f>Bolha!C27</f>
        <v>74.934148941800004</v>
      </c>
      <c r="D5" s="9">
        <f>Bolha!D27</f>
        <v>74.915597700000006</v>
      </c>
      <c r="E5" s="9">
        <f>Bolha!E27</f>
        <v>31.443988483299499</v>
      </c>
      <c r="F5" s="9">
        <f>Bolha!F27</f>
        <v>31.451921170891133</v>
      </c>
    </row>
    <row r="6" spans="1:38" ht="14.25">
      <c r="A6" s="2">
        <v>50000</v>
      </c>
      <c r="B6" s="9">
        <f>Bolha!B40</f>
        <v>14340.363000000001</v>
      </c>
      <c r="C6" s="9">
        <f>Bolha!C40</f>
        <v>455.56389142410001</v>
      </c>
      <c r="D6" s="9">
        <f>Bolha!D40</f>
        <v>455.49996679999992</v>
      </c>
      <c r="E6" s="9">
        <f>Bolha!E40</f>
        <v>31.480140924147086</v>
      </c>
      <c r="F6" s="9">
        <f>Bolha!F40</f>
        <v>31.484535228949358</v>
      </c>
    </row>
    <row r="8" spans="1:38" ht="14.25">
      <c r="A8" s="25" t="s">
        <v>7</v>
      </c>
      <c r="B8" s="25"/>
      <c r="C8" s="25"/>
      <c r="D8" s="25"/>
      <c r="E8" s="25"/>
      <c r="F8" s="25"/>
    </row>
    <row r="9" spans="1:38" ht="14.25">
      <c r="A9" s="3">
        <v>10000</v>
      </c>
      <c r="B9" s="11">
        <f>Bolha_Melhorado!B14</f>
        <v>341.22699999999998</v>
      </c>
      <c r="C9" s="11">
        <f>Bolha_Melhorado!C14</f>
        <v>11.0294861948</v>
      </c>
      <c r="D9" s="11">
        <f>Bolha_Melhorado!D14</f>
        <v>11.012193900000002</v>
      </c>
      <c r="E9" s="12">
        <f>Bolha_Melhorado!E14</f>
        <v>30.940570315817979</v>
      </c>
      <c r="F9" s="12">
        <f>Bolha_Melhorado!F14</f>
        <v>30.989137263334221</v>
      </c>
    </row>
    <row r="10" spans="1:38" ht="14.25">
      <c r="A10" s="3">
        <v>20000</v>
      </c>
      <c r="B10" s="11">
        <f>Bolha_Melhorado!B27</f>
        <v>1339.817</v>
      </c>
      <c r="C10" s="11">
        <f>Bolha_Melhorado!C27</f>
        <v>43.208074484899996</v>
      </c>
      <c r="D10" s="11">
        <f>Bolha_Melhorado!D27</f>
        <v>43.190345999999991</v>
      </c>
      <c r="E10" s="12">
        <f>Bolha_Melhorado!E27</f>
        <v>31.010365149778334</v>
      </c>
      <c r="F10" s="12">
        <f>Bolha_Melhorado!F27</f>
        <v>31.02320041159814</v>
      </c>
      <c r="AL10" t="s">
        <v>8</v>
      </c>
    </row>
    <row r="11" spans="1:38" ht="14.25">
      <c r="A11" s="3">
        <v>50000</v>
      </c>
      <c r="B11" s="11">
        <f>Bolha_Melhorado!B40</f>
        <v>8355.1759999999995</v>
      </c>
      <c r="C11" s="11">
        <f>Bolha_Melhorado!C40</f>
        <v>270.30058369030002</v>
      </c>
      <c r="D11" s="11">
        <f>Bolha_Melhorado!D40</f>
        <v>270.24537036099997</v>
      </c>
      <c r="E11" s="12">
        <f>Bolha_Melhorado!E40</f>
        <v>30.919026245754914</v>
      </c>
      <c r="F11" s="12">
        <f>Bolha_Melhorado!F40</f>
        <v>30.925246926262503</v>
      </c>
    </row>
    <row r="13" spans="1:38" ht="14.25">
      <c r="A13" s="26" t="s">
        <v>9</v>
      </c>
      <c r="B13" s="26"/>
      <c r="C13" s="26"/>
      <c r="D13" s="26"/>
      <c r="E13" s="26"/>
      <c r="F13" s="26"/>
    </row>
    <row r="14" spans="1:38" ht="14.25">
      <c r="A14" s="4">
        <v>10000</v>
      </c>
      <c r="B14" s="13">
        <f>Inserção!B14</f>
        <v>234.286</v>
      </c>
      <c r="C14" s="13">
        <f>Inserção!C14</f>
        <v>7.5847469999000001</v>
      </c>
      <c r="D14" s="13">
        <f>Inserção!D14</f>
        <v>7.5684433000000002</v>
      </c>
      <c r="E14" s="14">
        <f>Inserção!E14</f>
        <v>30.889038093746013</v>
      </c>
      <c r="F14" s="14">
        <f>Inserção!F14</f>
        <v>30.955275886420321</v>
      </c>
    </row>
    <row r="15" spans="1:38" ht="14.25">
      <c r="A15" s="4">
        <v>20000</v>
      </c>
      <c r="B15" s="13">
        <f>Inserção!B27</f>
        <v>951.97099999999989</v>
      </c>
      <c r="C15" s="13">
        <f>Inserção!C27</f>
        <v>30.748385043099994</v>
      </c>
      <c r="D15" s="13">
        <f>Inserção!D27</f>
        <v>30.734036500000002</v>
      </c>
      <c r="E15" s="14">
        <f>Inserção!E27</f>
        <v>30.957625031668734</v>
      </c>
      <c r="F15" s="14">
        <f>Inserção!F27</f>
        <v>30.972014708513949</v>
      </c>
    </row>
    <row r="16" spans="1:38" ht="14.25">
      <c r="A16" s="4">
        <v>50000</v>
      </c>
      <c r="B16" s="13">
        <f>Inserção!B40</f>
        <v>5982.5259999999998</v>
      </c>
      <c r="C16" s="13">
        <f>Inserção!C40</f>
        <v>192.48123750790003</v>
      </c>
      <c r="D16" s="13">
        <f>Inserção!D40</f>
        <v>192.42763010000002</v>
      </c>
      <c r="E16" s="14">
        <f>Inserção!E40</f>
        <v>31.08108653839291</v>
      </c>
      <c r="F16" s="14">
        <f>Inserção!F40</f>
        <v>31.089745255871129</v>
      </c>
    </row>
    <row r="18" spans="1:6" ht="14.25">
      <c r="A18" s="27" t="s">
        <v>10</v>
      </c>
      <c r="B18" s="27"/>
      <c r="C18" s="27"/>
      <c r="D18" s="27"/>
      <c r="E18" s="27"/>
      <c r="F18" s="27"/>
    </row>
    <row r="19" spans="1:6" ht="14.25">
      <c r="A19" s="5">
        <v>10000</v>
      </c>
      <c r="B19" s="15">
        <f>Inserção_Melhorado!B14</f>
        <v>152.47300000000001</v>
      </c>
      <c r="C19" s="15">
        <f>Inserção_Melhorado!C14</f>
        <v>4.9812846959000003</v>
      </c>
      <c r="D19" s="15">
        <f>Inserção_Melhorado!D14</f>
        <v>4.9676939999999998</v>
      </c>
      <c r="E19" s="16">
        <f>Inserção_Melhorado!E14</f>
        <v>30.610246714714208</v>
      </c>
      <c r="F19" s="16">
        <f>Inserção_Melhorado!F14</f>
        <v>30.694065207801305</v>
      </c>
    </row>
    <row r="20" spans="1:6" ht="14.25">
      <c r="A20" s="5">
        <v>20000</v>
      </c>
      <c r="B20" s="15">
        <f>Inserção_Melhorado!B27</f>
        <v>591.7299999999999</v>
      </c>
      <c r="C20" s="15">
        <f>Inserção_Melhorado!C27</f>
        <v>19.2697320304</v>
      </c>
      <c r="D20" s="15">
        <f>Inserção_Melhorado!D27</f>
        <v>19.250911285000001</v>
      </c>
      <c r="E20" s="16">
        <f>Inserção_Melhorado!E27</f>
        <v>30.708487219033351</v>
      </c>
      <c r="F20" s="16">
        <f>Inserção_Melhorado!F27</f>
        <v>30.738372769164208</v>
      </c>
    </row>
    <row r="21" spans="1:6" ht="14.25">
      <c r="A21" s="5">
        <v>50000</v>
      </c>
      <c r="B21" s="15">
        <f>Inserção_Melhorado!B40</f>
        <v>4071.8959999999997</v>
      </c>
      <c r="C21" s="15">
        <f>Inserção_Melhorado!C40</f>
        <v>128.61213679799999</v>
      </c>
      <c r="D21" s="15">
        <f>Inserção_Melhorado!D40</f>
        <v>128.57957549999998</v>
      </c>
      <c r="E21" s="16">
        <f>Inserção_Melhorado!E40</f>
        <v>31.675047000296995</v>
      </c>
      <c r="F21" s="16">
        <f>Inserção_Melhorado!F40</f>
        <v>31.683176644806213</v>
      </c>
    </row>
    <row r="23" spans="1:6" ht="15.75" customHeight="1">
      <c r="A23" s="28" t="s">
        <v>11</v>
      </c>
      <c r="B23" s="28"/>
      <c r="C23" s="28"/>
      <c r="D23" s="28"/>
      <c r="E23" s="28"/>
      <c r="F23" s="28"/>
    </row>
    <row r="24" spans="1:6" ht="15.75" customHeight="1">
      <c r="A24" s="7">
        <v>10000</v>
      </c>
      <c r="B24" s="17">
        <f>Seleção!B14</f>
        <v>58.754999999999995</v>
      </c>
      <c r="C24" s="17">
        <f>Seleção!C14</f>
        <v>1.8570803542000003</v>
      </c>
      <c r="D24" s="17">
        <f>Seleção!D14</f>
        <v>1.8449361</v>
      </c>
      <c r="E24" s="18">
        <f>Seleção!E14</f>
        <v>31.637627359140517</v>
      </c>
      <c r="F24" s="18">
        <f>Seleção!F14</f>
        <v>31.846140178311213</v>
      </c>
    </row>
    <row r="25" spans="1:6" ht="15.75" customHeight="1">
      <c r="A25" s="7">
        <v>20000</v>
      </c>
      <c r="B25" s="17">
        <f>Seleção!B27</f>
        <v>234.88399999999996</v>
      </c>
      <c r="C25" s="17">
        <f>Seleção!C27</f>
        <v>7.4342559415</v>
      </c>
      <c r="D25" s="17">
        <f>Seleção!D27</f>
        <v>7.4208129006999997</v>
      </c>
      <c r="E25" s="18">
        <f>Seleção!E27</f>
        <v>31.595396502457362</v>
      </c>
      <c r="F25" s="18">
        <f>Seleção!F27</f>
        <v>31.652863801763004</v>
      </c>
    </row>
    <row r="26" spans="1:6" ht="15.75" customHeight="1">
      <c r="A26" s="7">
        <v>50000</v>
      </c>
      <c r="B26" s="17">
        <f>Seleção!B40</f>
        <v>1505.1079999999999</v>
      </c>
      <c r="C26" s="17">
        <f>Seleção!C40</f>
        <v>47.111841021899998</v>
      </c>
      <c r="D26" s="17">
        <f>Seleção!D40</f>
        <v>47.087878500000002</v>
      </c>
      <c r="E26" s="18">
        <f>Seleção!E40</f>
        <v>31.92502485071811</v>
      </c>
      <c r="F26" s="18">
        <f>Seleção!F40</f>
        <v>31.96380996438393</v>
      </c>
    </row>
    <row r="28" spans="1:6" ht="15.75" customHeight="1">
      <c r="A28" s="23" t="s">
        <v>12</v>
      </c>
      <c r="B28" s="23"/>
      <c r="C28" s="23"/>
      <c r="D28" s="23"/>
      <c r="E28" s="23"/>
      <c r="F28" s="23"/>
    </row>
    <row r="29" spans="1:6" ht="15.75" customHeight="1">
      <c r="A29" s="8">
        <v>10000</v>
      </c>
      <c r="B29" s="19">
        <f>Seleção_Melhorada!B14</f>
        <v>2.2640000000000002</v>
      </c>
      <c r="C29" s="19">
        <f>Seleção_Melhorada!C14</f>
        <v>6.9570003899999996E-2</v>
      </c>
      <c r="D29" s="19">
        <f>Seleção_Melhorada!D14</f>
        <v>5.8932999999999992E-2</v>
      </c>
      <c r="E29" s="20">
        <f>Seleção_Melhorada!E14</f>
        <v>32.568385398168417</v>
      </c>
      <c r="F29" s="20">
        <f>Seleção_Melhorada!F14</f>
        <v>38.603805337786746</v>
      </c>
    </row>
    <row r="30" spans="1:6" ht="15.75" customHeight="1">
      <c r="A30" s="8">
        <v>20000</v>
      </c>
      <c r="B30" s="19">
        <f>Seleção_Melhorada!B27</f>
        <v>3.8959999999999995</v>
      </c>
      <c r="C30" s="19">
        <f>Seleção_Melhorada!C27</f>
        <v>0.1192033908</v>
      </c>
      <c r="D30" s="19">
        <f>Seleção_Melhorada!D27</f>
        <v>0.10742890000000001</v>
      </c>
      <c r="E30" s="20">
        <f>Seleção_Melhorada!E27</f>
        <v>32.621200999719811</v>
      </c>
      <c r="F30" s="20">
        <f>Seleção_Melhorada!F27</f>
        <v>36.308300527711154</v>
      </c>
    </row>
    <row r="31" spans="1:6" ht="15.75" customHeight="1">
      <c r="A31" s="8">
        <v>50000</v>
      </c>
      <c r="B31" s="19">
        <f>Seleção_Melhorada!B40</f>
        <v>9.2309999999999999</v>
      </c>
      <c r="C31" s="19">
        <f>Seleção_Melhorada!C40</f>
        <v>0.28375420560000003</v>
      </c>
      <c r="D31" s="19">
        <f>Seleção_Melhorada!D40</f>
        <v>0.2646655</v>
      </c>
      <c r="E31" s="20">
        <f>Seleção_Melhorada!E40</f>
        <v>32.485427384369991</v>
      </c>
      <c r="F31" s="20">
        <f>Seleção_Melhorada!F40</f>
        <v>34.835551643628335</v>
      </c>
    </row>
    <row r="43" spans="4:15" ht="15.75" customHeight="1">
      <c r="O43" s="22"/>
    </row>
    <row r="44" spans="4:15" ht="15.75" customHeight="1">
      <c r="D44" t="s">
        <v>13</v>
      </c>
      <c r="O44" s="22"/>
    </row>
  </sheetData>
  <mergeCells count="6">
    <mergeCell ref="A28:F28"/>
    <mergeCell ref="A3:F3"/>
    <mergeCell ref="A8:F8"/>
    <mergeCell ref="A13:F13"/>
    <mergeCell ref="A18:F18"/>
    <mergeCell ref="A23:F23"/>
  </mergeCells>
  <pageMargins left="0.74805555555555603" right="0.74805555555555603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0"/>
  <sheetViews>
    <sheetView topLeftCell="A9" zoomScaleNormal="100" zoomScaleSheetLayoutView="100" workbookViewId="0">
      <selection activeCell="N24" sqref="N24"/>
    </sheetView>
  </sheetViews>
  <sheetFormatPr defaultRowHeight="15.75" customHeight="1"/>
  <cols>
    <col min="1" max="1024" width="11.75" customWidth="1"/>
    <col min="1025" max="1025" width="9" customWidth="1"/>
  </cols>
  <sheetData>
    <row r="1" spans="1:17" ht="14.25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7" ht="15.75" customHeight="1">
      <c r="I2" s="21"/>
      <c r="J2" s="21"/>
      <c r="K2" s="21"/>
      <c r="N2" s="21"/>
      <c r="Q2" s="21"/>
    </row>
    <row r="3" spans="1:17" ht="14.25">
      <c r="A3" s="24">
        <v>10000</v>
      </c>
      <c r="B3" s="24"/>
      <c r="C3" s="24"/>
      <c r="D3" s="24"/>
      <c r="E3" s="24"/>
      <c r="F3" s="24"/>
      <c r="I3" s="21"/>
      <c r="J3" s="21"/>
      <c r="K3" s="21"/>
      <c r="N3" s="21"/>
      <c r="Q3" s="21"/>
    </row>
    <row r="4" spans="1:17" ht="14.25">
      <c r="A4" s="2">
        <v>1</v>
      </c>
      <c r="B4" s="2">
        <v>516.58000000000004</v>
      </c>
      <c r="C4" s="9">
        <v>17.37925435</v>
      </c>
      <c r="D4" s="9">
        <v>17.368219</v>
      </c>
      <c r="E4" s="10">
        <f>B4/C4</f>
        <v>29.723944974658824</v>
      </c>
      <c r="F4" s="10">
        <f>B4/D4</f>
        <v>29.742830856750484</v>
      </c>
      <c r="I4" s="21"/>
      <c r="J4" s="21"/>
      <c r="K4" s="21"/>
      <c r="N4" s="21"/>
    </row>
    <row r="5" spans="1:17" ht="14.25">
      <c r="A5" s="2">
        <v>2</v>
      </c>
      <c r="B5" s="2">
        <v>557.14</v>
      </c>
      <c r="C5" s="9">
        <v>18.940246164000001</v>
      </c>
      <c r="D5" s="9">
        <v>18.923963000000001</v>
      </c>
      <c r="E5" s="10">
        <f>B5/C5</f>
        <v>29.415668369662693</v>
      </c>
      <c r="F5" s="10">
        <f>B5/D5</f>
        <v>29.44097914374489</v>
      </c>
    </row>
    <row r="6" spans="1:17" ht="14.25">
      <c r="A6" s="2">
        <v>3</v>
      </c>
      <c r="B6" s="2">
        <v>517.6</v>
      </c>
      <c r="C6" s="9">
        <v>17.285110170999999</v>
      </c>
      <c r="D6" s="9">
        <v>17.268810999999999</v>
      </c>
      <c r="E6" s="10">
        <f>B6/C6</f>
        <v>29.94484818895749</v>
      </c>
      <c r="F6" s="10">
        <f>B6/D6</f>
        <v>29.973111640401882</v>
      </c>
    </row>
    <row r="7" spans="1:17" ht="14.25">
      <c r="A7" s="6">
        <f>A6+1</f>
        <v>4</v>
      </c>
      <c r="B7" s="6">
        <v>550.46</v>
      </c>
      <c r="C7" s="10">
        <v>17.976389699999999</v>
      </c>
      <c r="D7" s="10">
        <v>17.976389699999999</v>
      </c>
      <c r="E7" s="10">
        <f>B7/C7</f>
        <v>30.621276529179831</v>
      </c>
      <c r="F7" s="10">
        <f>B7/D7</f>
        <v>30.621276529179831</v>
      </c>
    </row>
    <row r="8" spans="1:17" ht="14.25">
      <c r="A8" s="6">
        <f>A7+1</f>
        <v>5</v>
      </c>
      <c r="B8" s="6">
        <v>559.95000000000005</v>
      </c>
      <c r="C8" s="10">
        <v>18.210999015999999</v>
      </c>
      <c r="D8" s="10">
        <v>18.199273999999999</v>
      </c>
      <c r="E8" s="10">
        <f>B8/C8</f>
        <v>30.747901282517979</v>
      </c>
      <c r="F8" s="10">
        <f>B8/D8</f>
        <v>30.76771084385015</v>
      </c>
    </row>
    <row r="9" spans="1:17" ht="14.25">
      <c r="A9" s="6">
        <f>A8+1</f>
        <v>6</v>
      </c>
      <c r="B9" s="6">
        <v>609.17999999999995</v>
      </c>
      <c r="C9" s="10">
        <v>19.086829805000001</v>
      </c>
      <c r="D9" s="10">
        <v>18.989093</v>
      </c>
      <c r="E9" s="10">
        <f>B9/C9</f>
        <v>31.916248335824669</v>
      </c>
      <c r="F9" s="10">
        <f>B9/D9</f>
        <v>32.080521170758388</v>
      </c>
    </row>
    <row r="10" spans="1:17" ht="14.25">
      <c r="A10" s="6">
        <f>A9+1</f>
        <v>7</v>
      </c>
      <c r="B10" s="6">
        <v>525.09</v>
      </c>
      <c r="C10" s="10">
        <v>17.294782804</v>
      </c>
      <c r="D10" s="10">
        <v>17.280678000000002</v>
      </c>
      <c r="E10" s="10">
        <f>B10/C10</f>
        <v>30.361179203624072</v>
      </c>
      <c r="F10" s="10">
        <f>B10/D10</f>
        <v>30.385960550853387</v>
      </c>
    </row>
    <row r="11" spans="1:17" ht="14.25">
      <c r="A11" s="6">
        <f>A10+1</f>
        <v>8</v>
      </c>
      <c r="B11" s="6">
        <v>550.45000000000005</v>
      </c>
      <c r="C11" s="10">
        <v>17.946304725000001</v>
      </c>
      <c r="D11" s="10">
        <v>17.933177000000001</v>
      </c>
      <c r="E11" s="10">
        <f>B11/C11</f>
        <v>30.67205246064939</v>
      </c>
      <c r="F11" s="10">
        <f>B11/D11</f>
        <v>30.694505496711489</v>
      </c>
    </row>
    <row r="12" spans="1:17" ht="14.25">
      <c r="A12" s="6">
        <f>A11+1</f>
        <v>9</v>
      </c>
      <c r="B12" s="6">
        <v>597.58000000000004</v>
      </c>
      <c r="C12" s="10">
        <v>19.584248643999999</v>
      </c>
      <c r="D12" s="10">
        <v>19.578402000000001</v>
      </c>
      <c r="E12" s="10">
        <f>B12/C12</f>
        <v>30.513297235075694</v>
      </c>
      <c r="F12" s="10">
        <f>B12/D12</f>
        <v>30.52240933657405</v>
      </c>
    </row>
    <row r="13" spans="1:17" ht="14.25">
      <c r="A13" s="6">
        <f>A12+1</f>
        <v>10</v>
      </c>
      <c r="B13" s="6">
        <v>565.33000000000004</v>
      </c>
      <c r="C13" s="10">
        <v>18.606230918000001</v>
      </c>
      <c r="D13" s="10">
        <v>18.599971</v>
      </c>
      <c r="E13" s="10">
        <f>B13/C13</f>
        <v>30.383907546427881</v>
      </c>
      <c r="F13" s="10">
        <f>B13/D13</f>
        <v>30.394133410208006</v>
      </c>
    </row>
    <row r="14" spans="1:17" ht="14.25">
      <c r="A14" s="2" t="s">
        <v>15</v>
      </c>
      <c r="B14" s="10">
        <f>AVERAGE(B4:B13)</f>
        <v>554.93600000000004</v>
      </c>
      <c r="C14" s="10">
        <f>AVERAGE(C4:C13)</f>
        <v>18.2310396297</v>
      </c>
      <c r="D14" s="10">
        <f>AVERAGE(D4:D13)</f>
        <v>18.21179777</v>
      </c>
      <c r="E14" s="10">
        <f>AVERAGE(E4:E13)</f>
        <v>30.430032412657852</v>
      </c>
      <c r="F14" s="10">
        <f>AVERAGE(F4:F13)</f>
        <v>30.462343897903253</v>
      </c>
    </row>
    <row r="16" spans="1:17" ht="14.25">
      <c r="A16" s="24">
        <v>20000</v>
      </c>
      <c r="B16" s="24"/>
      <c r="C16" s="24"/>
      <c r="D16" s="24"/>
      <c r="E16" s="24"/>
      <c r="F16" s="24"/>
    </row>
    <row r="17" spans="1:11" ht="14.25">
      <c r="A17" s="2">
        <v>1</v>
      </c>
      <c r="B17" s="2">
        <v>2169.79</v>
      </c>
      <c r="C17" s="9">
        <v>68.985295327000003</v>
      </c>
      <c r="D17" s="9">
        <v>68.969448999999997</v>
      </c>
      <c r="E17" s="10">
        <f>B17/C17</f>
        <v>31.452934856839999</v>
      </c>
      <c r="F17" s="10">
        <f>B17/D17</f>
        <v>31.460161440466198</v>
      </c>
    </row>
    <row r="18" spans="1:11" ht="14.25">
      <c r="A18" s="2">
        <v>2</v>
      </c>
      <c r="B18" s="2">
        <v>2263.81</v>
      </c>
      <c r="C18" s="9">
        <v>72.096823294000004</v>
      </c>
      <c r="D18" s="9">
        <v>72.076712999999998</v>
      </c>
      <c r="E18" s="10">
        <f>B18/C18</f>
        <v>31.39958040548504</v>
      </c>
      <c r="F18" s="10">
        <f>B18/D18</f>
        <v>31.408341276606219</v>
      </c>
    </row>
    <row r="19" spans="1:11" ht="14.25">
      <c r="A19" s="2">
        <v>3</v>
      </c>
      <c r="B19" s="2">
        <v>2265.15</v>
      </c>
      <c r="C19" s="9">
        <v>71.979338498999994</v>
      </c>
      <c r="D19" s="9">
        <v>71.969091000000006</v>
      </c>
      <c r="E19" s="10">
        <f>B19/C19</f>
        <v>31.469447305791366</v>
      </c>
      <c r="F19" s="10">
        <f>B19/D19</f>
        <v>31.473928161743768</v>
      </c>
    </row>
    <row r="20" spans="1:11" ht="14.25">
      <c r="A20" s="6">
        <f>A19+1</f>
        <v>4</v>
      </c>
      <c r="B20" s="6">
        <v>3072.11</v>
      </c>
      <c r="C20" s="10">
        <v>97.446498121000005</v>
      </c>
      <c r="D20" s="10">
        <v>97.434267000000006</v>
      </c>
      <c r="E20" s="10">
        <f>B20/C20</f>
        <v>31.526120068320356</v>
      </c>
      <c r="F20" s="10">
        <f>B20/D20</f>
        <v>31.530077606064403</v>
      </c>
    </row>
    <row r="21" spans="1:11" ht="14.25">
      <c r="A21" s="6">
        <f>A20+1</f>
        <v>5</v>
      </c>
      <c r="B21" s="6">
        <v>2270.4499999999998</v>
      </c>
      <c r="C21" s="10">
        <v>71.984357591999995</v>
      </c>
      <c r="D21" s="10">
        <v>71.956753000000006</v>
      </c>
      <c r="E21" s="10">
        <f>B21/C21</f>
        <v>31.540880212735647</v>
      </c>
      <c r="F21" s="10">
        <f>B21/D21</f>
        <v>31.552980162959823</v>
      </c>
    </row>
    <row r="22" spans="1:11" ht="14.25">
      <c r="A22" s="6">
        <f>A21+1</f>
        <v>6</v>
      </c>
      <c r="B22" s="6">
        <v>2384.14</v>
      </c>
      <c r="C22" s="10">
        <v>75.792913901000006</v>
      </c>
      <c r="D22" s="10">
        <v>75.781639999999996</v>
      </c>
      <c r="E22" s="10">
        <f>B22/C22</f>
        <v>31.455974936049316</v>
      </c>
      <c r="F22" s="10">
        <f>B22/D22</f>
        <v>31.460654585992067</v>
      </c>
      <c r="I22" s="21"/>
      <c r="J22" s="21"/>
      <c r="K22" s="21"/>
    </row>
    <row r="23" spans="1:11" ht="14.25">
      <c r="A23" s="6">
        <f>A22+1</f>
        <v>7</v>
      </c>
      <c r="B23" s="6">
        <v>2392.02</v>
      </c>
      <c r="C23" s="10">
        <v>76.365114034000001</v>
      </c>
      <c r="D23" s="10">
        <v>76.341645</v>
      </c>
      <c r="E23" s="10">
        <f>B23/C23</f>
        <v>31.323465305571364</v>
      </c>
      <c r="F23" s="10">
        <f>B23/D23</f>
        <v>31.333094800354381</v>
      </c>
      <c r="I23" s="21"/>
      <c r="J23" s="21"/>
      <c r="K23" s="21"/>
    </row>
    <row r="24" spans="1:11" ht="14.25">
      <c r="A24" s="6">
        <f>A23+1</f>
        <v>8</v>
      </c>
      <c r="B24" s="6">
        <v>2300.94</v>
      </c>
      <c r="C24" s="10">
        <v>73.618841262000004</v>
      </c>
      <c r="D24" s="10">
        <v>73.599310000000003</v>
      </c>
      <c r="E24" s="10">
        <f>B24/C24</f>
        <v>31.254770661375257</v>
      </c>
      <c r="F24" s="10">
        <f>B24/D24</f>
        <v>31.26306483036322</v>
      </c>
      <c r="I24" s="21"/>
      <c r="J24" s="21"/>
      <c r="K24" s="21"/>
    </row>
    <row r="25" spans="1:11" ht="14.25">
      <c r="A25" s="6">
        <f>A24+1</f>
        <v>9</v>
      </c>
      <c r="B25" s="6">
        <v>2202.61</v>
      </c>
      <c r="C25" s="10">
        <v>69.995045090999994</v>
      </c>
      <c r="D25" s="10">
        <v>69.972397999999998</v>
      </c>
      <c r="E25" s="10">
        <f>B25/C25</f>
        <v>31.46808459279374</v>
      </c>
      <c r="F25" s="10">
        <f>B25/D25</f>
        <v>31.478269474200385</v>
      </c>
    </row>
    <row r="26" spans="1:11" ht="14.25">
      <c r="A26" s="6">
        <f>A25+1</f>
        <v>10</v>
      </c>
      <c r="B26" s="6">
        <v>2242.39</v>
      </c>
      <c r="C26" s="10">
        <v>71.077262297000004</v>
      </c>
      <c r="D26" s="10">
        <v>71.054710999999998</v>
      </c>
      <c r="E26" s="10">
        <f>B26/C26</f>
        <v>31.548626488032948</v>
      </c>
      <c r="F26" s="10">
        <f>B26/D26</f>
        <v>31.558639370160833</v>
      </c>
    </row>
    <row r="27" spans="1:11" ht="14.25">
      <c r="A27" s="2" t="s">
        <v>15</v>
      </c>
      <c r="B27" s="10">
        <f>AVERAGE(B17:B26)</f>
        <v>2356.3409999999999</v>
      </c>
      <c r="C27" s="10">
        <f>AVERAGE(C17:C26)</f>
        <v>74.934148941800004</v>
      </c>
      <c r="D27" s="10">
        <f>AVERAGE(D17:D26)</f>
        <v>74.915597700000006</v>
      </c>
      <c r="E27" s="10">
        <f>AVERAGE(E17:E26)</f>
        <v>31.443988483299499</v>
      </c>
      <c r="F27" s="10">
        <f>AVERAGE(F17:F26)</f>
        <v>31.451921170891133</v>
      </c>
    </row>
    <row r="29" spans="1:11" ht="14.25">
      <c r="A29" s="24">
        <v>50000</v>
      </c>
      <c r="B29" s="24"/>
      <c r="C29" s="24"/>
      <c r="D29" s="24"/>
      <c r="E29" s="24"/>
      <c r="F29" s="24"/>
    </row>
    <row r="30" spans="1:11" ht="14.25">
      <c r="A30" s="2">
        <v>1</v>
      </c>
      <c r="B30" s="2">
        <v>14300.75</v>
      </c>
      <c r="C30" s="9">
        <v>464.12731818399999</v>
      </c>
      <c r="D30" s="9">
        <v>464.04932700000001</v>
      </c>
      <c r="E30" s="10">
        <f>B30/C30</f>
        <v>30.812127275668288</v>
      </c>
      <c r="F30" s="10">
        <f>B30/D30</f>
        <v>30.817305764565845</v>
      </c>
    </row>
    <row r="31" spans="1:11" ht="14.25">
      <c r="A31" s="2">
        <v>2</v>
      </c>
      <c r="B31" s="2">
        <v>13998.19</v>
      </c>
      <c r="C31" s="9">
        <v>449.57028247900001</v>
      </c>
      <c r="D31" s="9">
        <v>449.535595</v>
      </c>
      <c r="E31" s="10">
        <f t="shared" ref="E31:E39" si="0">B31/C31</f>
        <v>31.136822306874507</v>
      </c>
      <c r="F31" s="10">
        <f t="shared" ref="F31:F39" si="1">B31/D31</f>
        <v>31.13922491499255</v>
      </c>
    </row>
    <row r="32" spans="1:11" ht="14.25">
      <c r="A32" s="2">
        <v>3</v>
      </c>
      <c r="B32" s="2">
        <v>14131.76</v>
      </c>
      <c r="C32" s="9">
        <v>459.334351954</v>
      </c>
      <c r="D32" s="9">
        <v>459.30122899999998</v>
      </c>
      <c r="E32" s="10">
        <f t="shared" si="0"/>
        <v>30.765737288935064</v>
      </c>
      <c r="F32" s="10">
        <f t="shared" si="1"/>
        <v>30.767955989945765</v>
      </c>
    </row>
    <row r="33" spans="1:6" ht="14.25">
      <c r="A33" s="6">
        <f>A32+1</f>
        <v>4</v>
      </c>
      <c r="B33" s="6">
        <v>14112.25</v>
      </c>
      <c r="C33" s="10">
        <v>447.78813959000001</v>
      </c>
      <c r="D33" s="10">
        <v>447.74845699999997</v>
      </c>
      <c r="E33" s="10">
        <f t="shared" si="0"/>
        <v>31.515461782711213</v>
      </c>
      <c r="F33" s="10">
        <f t="shared" si="1"/>
        <v>31.518254902662903</v>
      </c>
    </row>
    <row r="34" spans="1:6" ht="14.25">
      <c r="A34" s="6">
        <f>A33+1</f>
        <v>5</v>
      </c>
      <c r="B34" s="6">
        <v>14747.08</v>
      </c>
      <c r="C34" s="10">
        <v>463.44009307699997</v>
      </c>
      <c r="D34" s="10">
        <v>463.22773599999999</v>
      </c>
      <c r="E34" s="10">
        <f t="shared" si="0"/>
        <v>31.820898149072725</v>
      </c>
      <c r="F34" s="10">
        <f t="shared" si="1"/>
        <v>31.835485774970952</v>
      </c>
    </row>
    <row r="35" spans="1:6" ht="14.25">
      <c r="A35" s="6">
        <f>A34+1</f>
        <v>6</v>
      </c>
      <c r="B35" s="6">
        <v>13809.37</v>
      </c>
      <c r="C35" s="10">
        <v>438.02008148099998</v>
      </c>
      <c r="D35" s="10">
        <v>437.99351799999999</v>
      </c>
      <c r="E35" s="10">
        <f t="shared" si="0"/>
        <v>31.526796564460735</v>
      </c>
      <c r="F35" s="10">
        <f t="shared" si="1"/>
        <v>31.528708605226438</v>
      </c>
    </row>
    <row r="36" spans="1:6" ht="14.25">
      <c r="A36" s="6">
        <f>A35+1</f>
        <v>7</v>
      </c>
      <c r="B36" s="6">
        <v>14669.14</v>
      </c>
      <c r="C36" s="10">
        <v>458.69720661899999</v>
      </c>
      <c r="D36" s="10">
        <v>458.64208300000001</v>
      </c>
      <c r="E36" s="10">
        <f t="shared" si="0"/>
        <v>31.980007264758388</v>
      </c>
      <c r="F36" s="10">
        <f t="shared" si="1"/>
        <v>31.983850901880714</v>
      </c>
    </row>
    <row r="37" spans="1:6" ht="14.25">
      <c r="A37" s="6">
        <f>A36+1</f>
        <v>8</v>
      </c>
      <c r="B37" s="6">
        <v>14893.02</v>
      </c>
      <c r="C37" s="10">
        <v>471.93464031600001</v>
      </c>
      <c r="D37" s="10">
        <v>471.87580100000002</v>
      </c>
      <c r="E37" s="10">
        <f t="shared" si="0"/>
        <v>31.557378348043848</v>
      </c>
      <c r="F37" s="10">
        <f t="shared" si="1"/>
        <v>31.561313312610409</v>
      </c>
    </row>
    <row r="38" spans="1:6" ht="14.25">
      <c r="A38" s="6">
        <f>A37+1</f>
        <v>9</v>
      </c>
      <c r="B38" s="6">
        <v>14129.27</v>
      </c>
      <c r="C38" s="10">
        <v>441.28180212699999</v>
      </c>
      <c r="D38" s="10">
        <v>441.24414200000001</v>
      </c>
      <c r="E38" s="10">
        <f t="shared" si="0"/>
        <v>32.018700820872795</v>
      </c>
      <c r="F38" s="10">
        <f t="shared" si="1"/>
        <v>32.021433612596269</v>
      </c>
    </row>
    <row r="39" spans="1:6" ht="14.25">
      <c r="A39" s="6">
        <f>A38+1</f>
        <v>10</v>
      </c>
      <c r="B39" s="6">
        <v>14612.8</v>
      </c>
      <c r="C39" s="10">
        <v>461.444998414</v>
      </c>
      <c r="D39" s="10">
        <v>461.38177999999999</v>
      </c>
      <c r="E39" s="10">
        <f t="shared" si="0"/>
        <v>31.667479440073297</v>
      </c>
      <c r="F39" s="10">
        <f t="shared" si="1"/>
        <v>31.671818510041728</v>
      </c>
    </row>
    <row r="40" spans="1:6" ht="14.25">
      <c r="A40" s="2" t="s">
        <v>15</v>
      </c>
      <c r="B40" s="10">
        <f>AVERAGE(B30:B39)</f>
        <v>14340.363000000001</v>
      </c>
      <c r="C40" s="10">
        <f>AVERAGE(C30:C39)</f>
        <v>455.56389142410001</v>
      </c>
      <c r="D40" s="10">
        <f>AVERAGE(D30:D39)</f>
        <v>455.49996679999992</v>
      </c>
      <c r="E40" s="10">
        <f>AVERAGE(E30:E39)</f>
        <v>31.480140924147086</v>
      </c>
      <c r="F40" s="10">
        <f>AVERAGE(F30:F39)</f>
        <v>31.484535228949358</v>
      </c>
    </row>
  </sheetData>
  <mergeCells count="3">
    <mergeCell ref="A3:F3"/>
    <mergeCell ref="A16:F16"/>
    <mergeCell ref="A29:F29"/>
  </mergeCells>
  <pageMargins left="0.74805555555555603" right="0.74805555555555603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topLeftCell="A21" zoomScaleNormal="100" zoomScaleSheetLayoutView="100" workbookViewId="0">
      <selection activeCell="H28" sqref="H28"/>
    </sheetView>
  </sheetViews>
  <sheetFormatPr defaultRowHeight="15.75" customHeight="1"/>
  <cols>
    <col min="1" max="1024" width="11.75" customWidth="1"/>
    <col min="1025" max="1025" width="9" customWidth="1"/>
  </cols>
  <sheetData>
    <row r="1" spans="1:6" ht="14.25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 ht="14.25">
      <c r="A3" s="24">
        <v>10000</v>
      </c>
      <c r="B3" s="24"/>
      <c r="C3" s="24"/>
      <c r="D3" s="24"/>
      <c r="E3" s="24"/>
      <c r="F3" s="24"/>
    </row>
    <row r="4" spans="1:6" ht="14.25">
      <c r="A4" s="2">
        <v>1</v>
      </c>
      <c r="B4" s="2">
        <v>333.83</v>
      </c>
      <c r="C4" s="9">
        <v>10.651706923000001</v>
      </c>
      <c r="D4" s="9">
        <v>10.639156</v>
      </c>
      <c r="E4" s="10">
        <f>B4/C4</f>
        <v>31.340516821690624</v>
      </c>
      <c r="F4" s="10">
        <f>B4/D4</f>
        <v>31.377488966230025</v>
      </c>
    </row>
    <row r="5" spans="1:6" ht="14.25">
      <c r="A5" s="2">
        <v>2</v>
      </c>
      <c r="B5" s="2">
        <v>324.66000000000003</v>
      </c>
      <c r="C5" s="9">
        <v>10.571162000999999</v>
      </c>
      <c r="D5" s="9">
        <v>10.540837</v>
      </c>
      <c r="E5" s="10">
        <f>B5/C5</f>
        <v>30.711855514964977</v>
      </c>
      <c r="F5" s="10">
        <f>B5/D5</f>
        <v>30.800210647408743</v>
      </c>
    </row>
    <row r="6" spans="1:6" ht="14.25">
      <c r="A6" s="2">
        <v>3</v>
      </c>
      <c r="B6" s="2">
        <v>343.49</v>
      </c>
      <c r="C6" s="10">
        <v>11.135602049999999</v>
      </c>
      <c r="D6" s="9">
        <v>11.094125999999999</v>
      </c>
      <c r="E6" s="10">
        <f>B6/C6</f>
        <v>30.846109483590968</v>
      </c>
      <c r="F6" s="10">
        <f>B6/D6</f>
        <v>30.961429498817665</v>
      </c>
    </row>
    <row r="7" spans="1:6" ht="14.25">
      <c r="A7" s="6">
        <f>A6+1</f>
        <v>4</v>
      </c>
      <c r="B7" s="6">
        <v>330.32</v>
      </c>
      <c r="C7" s="9">
        <v>10.644527978999999</v>
      </c>
      <c r="D7" s="9">
        <v>10.634779999999999</v>
      </c>
      <c r="E7" s="10">
        <f>B7/C7</f>
        <v>31.031906783623477</v>
      </c>
      <c r="F7" s="10">
        <f>B7/D7</f>
        <v>31.060351036880878</v>
      </c>
    </row>
    <row r="8" spans="1:6" ht="14.25">
      <c r="A8" s="6">
        <f>A7+1</f>
        <v>5</v>
      </c>
      <c r="B8" s="6">
        <v>340.19</v>
      </c>
      <c r="C8" s="9">
        <v>10.978521482</v>
      </c>
      <c r="D8" s="9">
        <v>10.964862</v>
      </c>
      <c r="E8" s="10">
        <f>B8/C8</f>
        <v>30.986868364539216</v>
      </c>
      <c r="F8" s="10">
        <f>B8/D8</f>
        <v>31.025470270396472</v>
      </c>
    </row>
    <row r="9" spans="1:6" ht="14.25">
      <c r="A9" s="6">
        <f>A8+1</f>
        <v>6</v>
      </c>
      <c r="B9" s="6">
        <v>347.04</v>
      </c>
      <c r="C9" s="9">
        <v>11.143412159</v>
      </c>
      <c r="D9" s="9">
        <v>11.134392</v>
      </c>
      <c r="E9" s="10">
        <f>B9/C9</f>
        <v>31.143064175339905</v>
      </c>
      <c r="F9" s="10">
        <f>B9/D9</f>
        <v>31.168293697581333</v>
      </c>
    </row>
    <row r="10" spans="1:6" ht="14.25">
      <c r="A10" s="6">
        <f>A9+1</f>
        <v>7</v>
      </c>
      <c r="B10" s="6">
        <v>321.37</v>
      </c>
      <c r="C10" s="9">
        <v>10.469110102</v>
      </c>
      <c r="D10" s="9">
        <v>10.451753</v>
      </c>
      <c r="E10" s="10">
        <f>B10/C10</f>
        <v>30.696973942284362</v>
      </c>
      <c r="F10" s="10">
        <f>B10/D10</f>
        <v>30.747952042111979</v>
      </c>
    </row>
    <row r="11" spans="1:6" ht="14.25">
      <c r="A11" s="6">
        <f>A10+1</f>
        <v>8</v>
      </c>
      <c r="B11" s="6">
        <v>374.72</v>
      </c>
      <c r="C11" s="9">
        <v>12.228400854</v>
      </c>
      <c r="D11" s="9">
        <v>12.218178999999999</v>
      </c>
      <c r="E11" s="10">
        <f>B11/C11</f>
        <v>30.643418094805615</v>
      </c>
      <c r="F11" s="10">
        <f>B11/D11</f>
        <v>30.66905469301113</v>
      </c>
    </row>
    <row r="12" spans="1:6" ht="14.25">
      <c r="A12" s="6">
        <f>A11+1</f>
        <v>9</v>
      </c>
      <c r="B12" s="6">
        <v>325.35000000000002</v>
      </c>
      <c r="C12" s="9">
        <v>10.482862633</v>
      </c>
      <c r="D12" s="9">
        <v>10.476958</v>
      </c>
      <c r="E12" s="10">
        <f>B12/C12</f>
        <v>31.036369681674529</v>
      </c>
      <c r="F12" s="10">
        <f>B12/D12</f>
        <v>31.053861244838437</v>
      </c>
    </row>
    <row r="13" spans="1:6" ht="14.25">
      <c r="A13" s="6">
        <f>A12+1</f>
        <v>10</v>
      </c>
      <c r="B13" s="6">
        <v>371.3</v>
      </c>
      <c r="C13" s="9">
        <v>11.989555765</v>
      </c>
      <c r="D13" s="9">
        <v>11.966896</v>
      </c>
      <c r="E13" s="10">
        <f>B13/C13</f>
        <v>30.968620295666142</v>
      </c>
      <c r="F13" s="10">
        <f>B13/D13</f>
        <v>31.027260536065494</v>
      </c>
    </row>
    <row r="14" spans="1:6" ht="14.25">
      <c r="A14" s="2" t="s">
        <v>15</v>
      </c>
      <c r="B14" s="10">
        <f>AVERAGE(B4:B13)</f>
        <v>341.22699999999998</v>
      </c>
      <c r="C14" s="10">
        <f>AVERAGE(C4:C13)</f>
        <v>11.0294861948</v>
      </c>
      <c r="D14" s="10">
        <f>AVERAGE(D4:D13)</f>
        <v>11.012193900000002</v>
      </c>
      <c r="E14" s="10">
        <f>AVERAGE(E4:E13)</f>
        <v>30.940570315817979</v>
      </c>
      <c r="F14" s="10">
        <f>AVERAGE(F4:F13)</f>
        <v>30.989137263334221</v>
      </c>
    </row>
    <row r="16" spans="1:6" ht="14.25">
      <c r="A16" s="24">
        <v>20000</v>
      </c>
      <c r="B16" s="24"/>
      <c r="C16" s="24"/>
      <c r="D16" s="24"/>
      <c r="E16" s="24"/>
      <c r="F16" s="24"/>
    </row>
    <row r="17" spans="1:6" ht="14.25">
      <c r="A17" s="2">
        <v>1</v>
      </c>
      <c r="B17" s="2">
        <v>1289.42</v>
      </c>
      <c r="C17" s="9">
        <v>41.710068573999997</v>
      </c>
      <c r="D17" s="9">
        <v>41.662444000000001</v>
      </c>
      <c r="E17" s="10">
        <f>B17/C17</f>
        <v>30.913878688843994</v>
      </c>
      <c r="F17" s="10">
        <f>B17/D17</f>
        <v>30.949216517398739</v>
      </c>
    </row>
    <row r="18" spans="1:6" ht="14.25">
      <c r="A18" s="2">
        <v>2</v>
      </c>
      <c r="B18" s="2">
        <v>1343.35</v>
      </c>
      <c r="C18" s="9">
        <v>42.439241955999996</v>
      </c>
      <c r="D18" s="9">
        <v>42.425969000000002</v>
      </c>
      <c r="E18" s="10">
        <f>B18/C18</f>
        <v>31.653487152120988</v>
      </c>
      <c r="F18" s="10">
        <f>B18/D18</f>
        <v>31.663389939308161</v>
      </c>
    </row>
    <row r="19" spans="1:6" ht="14.25">
      <c r="A19" s="2">
        <v>3</v>
      </c>
      <c r="B19" s="2">
        <v>1306.3800000000001</v>
      </c>
      <c r="C19" s="9">
        <v>42.175675452</v>
      </c>
      <c r="D19" s="9">
        <v>42.164751000000003</v>
      </c>
      <c r="E19" s="10">
        <f>B19/C19</f>
        <v>30.974726213615405</v>
      </c>
      <c r="F19" s="10">
        <f>B19/D19</f>
        <v>30.982751445632871</v>
      </c>
    </row>
    <row r="20" spans="1:6" ht="14.25">
      <c r="A20" s="6">
        <f>A19+1</f>
        <v>4</v>
      </c>
      <c r="B20" s="6">
        <v>1363.19</v>
      </c>
      <c r="C20" s="10">
        <v>43.979887146000003</v>
      </c>
      <c r="D20" s="10">
        <v>43.965316000000001</v>
      </c>
      <c r="E20" s="10">
        <f>B20/C20</f>
        <v>30.9957593905282</v>
      </c>
      <c r="F20" s="10">
        <f>B20/D20</f>
        <v>31.006032118590937</v>
      </c>
    </row>
    <row r="21" spans="1:6" ht="14.25">
      <c r="A21" s="6">
        <f>A20+1</f>
        <v>5</v>
      </c>
      <c r="B21" s="6">
        <v>1303.02</v>
      </c>
      <c r="C21" s="10">
        <v>42.157379290000002</v>
      </c>
      <c r="D21" s="10">
        <v>42.138852</v>
      </c>
      <c r="E21" s="10">
        <f>B21/C21</f>
        <v>30.908467792472209</v>
      </c>
      <c r="F21" s="10">
        <f>B21/D21</f>
        <v>30.922057392545955</v>
      </c>
    </row>
    <row r="22" spans="1:6" ht="14.25">
      <c r="A22" s="6">
        <f>A21+1</f>
        <v>6</v>
      </c>
      <c r="B22" s="6">
        <v>1393.41</v>
      </c>
      <c r="C22" s="10">
        <v>45.221899211999997</v>
      </c>
      <c r="D22" s="10">
        <v>45.207228999999998</v>
      </c>
      <c r="E22" s="10">
        <f>B22/C22</f>
        <v>30.812726229557548</v>
      </c>
      <c r="F22" s="10">
        <f>B22/D22</f>
        <v>30.822725276968427</v>
      </c>
    </row>
    <row r="23" spans="1:6" ht="14.25">
      <c r="A23" s="6">
        <f>A22+1</f>
        <v>7</v>
      </c>
      <c r="B23" s="6">
        <v>1361.23</v>
      </c>
      <c r="C23" s="10">
        <v>44.259564599999997</v>
      </c>
      <c r="D23" s="10">
        <v>44.252257</v>
      </c>
      <c r="E23" s="10">
        <f>B23/C23</f>
        <v>30.755612087517012</v>
      </c>
      <c r="F23" s="10">
        <f>B23/D23</f>
        <v>30.76069091797962</v>
      </c>
    </row>
    <row r="24" spans="1:6" ht="14.25">
      <c r="A24" s="6">
        <f>A23+1</f>
        <v>8</v>
      </c>
      <c r="B24" s="6">
        <v>1319.38</v>
      </c>
      <c r="C24" s="10">
        <v>42.535951193000002</v>
      </c>
      <c r="D24" s="10">
        <v>42.513756000000001</v>
      </c>
      <c r="E24" s="10">
        <f>B24/C24</f>
        <v>31.017996847267543</v>
      </c>
      <c r="F24" s="10">
        <f>B24/D24</f>
        <v>31.034190439442707</v>
      </c>
    </row>
    <row r="25" spans="1:6" ht="14.25">
      <c r="A25" s="6">
        <f>A24+1</f>
        <v>9</v>
      </c>
      <c r="B25" s="6">
        <v>1384.55</v>
      </c>
      <c r="C25" s="10">
        <v>44.567946722000002</v>
      </c>
      <c r="D25" s="10">
        <v>44.552370000000003</v>
      </c>
      <c r="E25" s="10">
        <f>B25/C25</f>
        <v>31.066048625402498</v>
      </c>
      <c r="F25" s="10">
        <f>B25/D25</f>
        <v>31.076910162130542</v>
      </c>
    </row>
    <row r="26" spans="1:6" ht="14.25">
      <c r="A26" s="6">
        <f>A25+1</f>
        <v>10</v>
      </c>
      <c r="B26" s="6">
        <v>1334.24</v>
      </c>
      <c r="C26" s="10">
        <v>43.033130704000001</v>
      </c>
      <c r="D26" s="10">
        <v>43.020516000000001</v>
      </c>
      <c r="E26" s="10">
        <f>B26/C26</f>
        <v>31.004948470457908</v>
      </c>
      <c r="F26" s="10">
        <f>B26/D26</f>
        <v>31.014039905983463</v>
      </c>
    </row>
    <row r="27" spans="1:6" ht="14.25">
      <c r="A27" s="2" t="s">
        <v>15</v>
      </c>
      <c r="B27" s="10">
        <f>AVERAGE(B17:B26)</f>
        <v>1339.817</v>
      </c>
      <c r="C27" s="10">
        <f>AVERAGE(C17:C26)</f>
        <v>43.208074484899996</v>
      </c>
      <c r="D27" s="10">
        <f>AVERAGE(D17:D26)</f>
        <v>43.190345999999991</v>
      </c>
      <c r="E27" s="10">
        <f>AVERAGE(E17:E26)</f>
        <v>31.010365149778334</v>
      </c>
      <c r="F27" s="10">
        <f>AVERAGE(F17:F26)</f>
        <v>31.02320041159814</v>
      </c>
    </row>
    <row r="29" spans="1:6" ht="14.25">
      <c r="A29" s="24">
        <v>50000</v>
      </c>
      <c r="B29" s="24"/>
      <c r="C29" s="24"/>
      <c r="D29" s="24"/>
      <c r="E29" s="24"/>
      <c r="F29" s="24"/>
    </row>
    <row r="30" spans="1:6" ht="14.25">
      <c r="A30" s="2">
        <v>1</v>
      </c>
      <c r="B30" s="2">
        <v>8168.72</v>
      </c>
      <c r="C30" s="9">
        <v>262.41984002100003</v>
      </c>
      <c r="D30" s="9">
        <v>262.31169699999998</v>
      </c>
      <c r="E30" s="10">
        <f>B30/C30</f>
        <v>31.128439066750069</v>
      </c>
      <c r="F30" s="10">
        <f>B30/D30</f>
        <v>31.141272361941226</v>
      </c>
    </row>
    <row r="31" spans="1:6" ht="14.25">
      <c r="A31" s="2">
        <v>2</v>
      </c>
      <c r="B31" s="2">
        <v>8724.6</v>
      </c>
      <c r="C31" s="9">
        <v>281.230795113</v>
      </c>
      <c r="D31" s="9">
        <v>281.10796499999998</v>
      </c>
      <c r="E31" s="10">
        <f>B31/C31</f>
        <v>31.022918370281641</v>
      </c>
      <c r="F31" s="10">
        <f>B31/D31</f>
        <v>31.036473833105372</v>
      </c>
    </row>
    <row r="32" spans="1:6" ht="14.25">
      <c r="A32" s="2">
        <v>3</v>
      </c>
      <c r="B32" s="2">
        <v>8325.61</v>
      </c>
      <c r="C32" s="9">
        <v>267.390492069</v>
      </c>
      <c r="D32" s="9">
        <v>267.363449</v>
      </c>
      <c r="E32" s="10">
        <f>B32/C32</f>
        <v>31.136522228515069</v>
      </c>
      <c r="F32" s="10">
        <f>B32/D32</f>
        <v>31.139671601109548</v>
      </c>
    </row>
    <row r="33" spans="1:6" ht="14.25">
      <c r="A33" s="6">
        <f>A32+1</f>
        <v>4</v>
      </c>
      <c r="B33" s="6">
        <v>8215.4</v>
      </c>
      <c r="C33" s="10">
        <v>281.23045012</v>
      </c>
      <c r="D33" s="10">
        <v>281.11020044999998</v>
      </c>
      <c r="E33" s="10">
        <f>B33/C33</f>
        <v>29.21234168097558</v>
      </c>
      <c r="F33" s="10">
        <f>B33/D33</f>
        <v>29.224837757039136</v>
      </c>
    </row>
    <row r="34" spans="1:6" ht="14.25">
      <c r="A34" s="6">
        <f>A33+1</f>
        <v>5</v>
      </c>
      <c r="B34" s="6">
        <v>8168.72</v>
      </c>
      <c r="C34" s="10">
        <v>262.31169699999998</v>
      </c>
      <c r="D34" s="10">
        <v>262.30810000000002</v>
      </c>
      <c r="E34" s="10">
        <f>B34/C34</f>
        <v>31.141272361941226</v>
      </c>
      <c r="F34" s="10">
        <f>B34/D34</f>
        <v>31.141699398531724</v>
      </c>
    </row>
    <row r="35" spans="1:6" ht="14.25">
      <c r="A35" s="6">
        <f>A34+1</f>
        <v>6</v>
      </c>
      <c r="B35" s="6">
        <v>8325.61</v>
      </c>
      <c r="C35" s="10">
        <v>267.39012088999999</v>
      </c>
      <c r="D35" s="10">
        <v>267.36080034000003</v>
      </c>
      <c r="E35" s="10">
        <f>B35/C35</f>
        <v>31.136565450841854</v>
      </c>
      <c r="F35" s="10">
        <f>B35/D35</f>
        <v>31.139980092116744</v>
      </c>
    </row>
    <row r="36" spans="1:6" ht="14.25">
      <c r="A36" s="6">
        <f>A35+1</f>
        <v>7</v>
      </c>
      <c r="B36" s="6">
        <v>8540.15</v>
      </c>
      <c r="C36" s="10">
        <v>274.81053041000001</v>
      </c>
      <c r="D36" s="10">
        <v>274.81053041000001</v>
      </c>
      <c r="E36" s="10">
        <f>B36/C36</f>
        <v>31.076502007614604</v>
      </c>
      <c r="F36" s="10">
        <f>B36/D36</f>
        <v>31.076502007614604</v>
      </c>
    </row>
    <row r="37" spans="1:6" ht="14.25">
      <c r="A37" s="6">
        <f>A36+1</f>
        <v>8</v>
      </c>
      <c r="B37" s="6">
        <v>8412.2999999999993</v>
      </c>
      <c r="C37" s="10">
        <v>270.62040022999997</v>
      </c>
      <c r="D37" s="10">
        <v>270.58011088000001</v>
      </c>
      <c r="E37" s="10">
        <f>B37/C37</f>
        <v>31.085239667262318</v>
      </c>
      <c r="F37" s="10">
        <f>B37/D37</f>
        <v>31.089868256173432</v>
      </c>
    </row>
    <row r="38" spans="1:6" ht="14.25">
      <c r="A38" s="6">
        <f>A37+1</f>
        <v>9</v>
      </c>
      <c r="B38" s="6">
        <v>8380.25</v>
      </c>
      <c r="C38" s="10">
        <v>269.43061032999998</v>
      </c>
      <c r="D38" s="10">
        <v>269.38050012000002</v>
      </c>
      <c r="E38" s="10">
        <f>B38/C38</f>
        <v>31.103555716018413</v>
      </c>
      <c r="F38" s="10">
        <f>B38/D38</f>
        <v>31.109341605152853</v>
      </c>
    </row>
    <row r="39" spans="1:6" ht="14.25">
      <c r="A39" s="6">
        <f>A38+1</f>
        <v>10</v>
      </c>
      <c r="B39" s="6">
        <v>8290.4</v>
      </c>
      <c r="C39" s="10">
        <v>266.17090072000002</v>
      </c>
      <c r="D39" s="10">
        <v>266.12035041000001</v>
      </c>
      <c r="E39" s="10">
        <f>B39/C39</f>
        <v>31.146905907348348</v>
      </c>
      <c r="F39" s="10">
        <f>B39/D39</f>
        <v>31.15282234984037</v>
      </c>
    </row>
    <row r="40" spans="1:6" ht="14.25">
      <c r="A40" s="2" t="s">
        <v>15</v>
      </c>
      <c r="B40" s="10">
        <f>AVERAGE(B30:B39)</f>
        <v>8355.1759999999995</v>
      </c>
      <c r="C40" s="10">
        <f>AVERAGE(C30:C39)</f>
        <v>270.30058369030002</v>
      </c>
      <c r="D40" s="10">
        <f>AVERAGE(D30:D39)</f>
        <v>270.24537036099997</v>
      </c>
      <c r="E40" s="10">
        <f>AVERAGE(E30:E39)</f>
        <v>30.919026245754914</v>
      </c>
      <c r="F40" s="10">
        <f>AVERAGE(F30:F39)</f>
        <v>30.925246926262503</v>
      </c>
    </row>
  </sheetData>
  <mergeCells count="3">
    <mergeCell ref="A3:F3"/>
    <mergeCell ref="A16:F16"/>
    <mergeCell ref="A29:F29"/>
  </mergeCells>
  <pageMargins left="0.74805555555555603" right="0.74805555555555603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zoomScaleNormal="100" zoomScaleSheetLayoutView="100" workbookViewId="0">
      <selection activeCell="I8" sqref="I8"/>
    </sheetView>
  </sheetViews>
  <sheetFormatPr defaultRowHeight="15.75" customHeight="1"/>
  <cols>
    <col min="1" max="1024" width="11.75" customWidth="1"/>
    <col min="1025" max="1025" width="9" customWidth="1"/>
  </cols>
  <sheetData>
    <row r="1" spans="1:6" ht="14.25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 ht="14.25">
      <c r="A3" s="24">
        <v>10000</v>
      </c>
      <c r="B3" s="24"/>
      <c r="C3" s="24"/>
      <c r="D3" s="24"/>
      <c r="E3" s="24"/>
      <c r="F3" s="24"/>
    </row>
    <row r="4" spans="1:6" ht="14.25">
      <c r="A4" s="2">
        <v>1</v>
      </c>
      <c r="B4" s="2">
        <v>238.9</v>
      </c>
      <c r="C4" s="9">
        <v>7.7736155309999999</v>
      </c>
      <c r="D4" s="9">
        <v>7.7639849999999999</v>
      </c>
      <c r="E4" s="10">
        <f>B4/C4</f>
        <v>30.732160478904962</v>
      </c>
      <c r="F4" s="10">
        <f>B4/D4</f>
        <v>30.770280983283715</v>
      </c>
    </row>
    <row r="5" spans="1:6" ht="14.25">
      <c r="A5" s="2">
        <v>2</v>
      </c>
      <c r="B5" s="2">
        <v>231.71</v>
      </c>
      <c r="C5" s="9">
        <v>7.4584399330000002</v>
      </c>
      <c r="D5" s="9">
        <v>7.4409429999999999</v>
      </c>
      <c r="E5" s="10">
        <f t="shared" ref="E5:E13" si="0">B5/C5</f>
        <v>31.066818541340663</v>
      </c>
      <c r="F5" s="10">
        <f t="shared" ref="F5:F13" si="1">B5/D5</f>
        <v>31.139870309448682</v>
      </c>
    </row>
    <row r="6" spans="1:6" ht="14.25">
      <c r="A6" s="2">
        <v>3</v>
      </c>
      <c r="B6" s="2">
        <v>234.23</v>
      </c>
      <c r="C6" s="9">
        <v>7.5270498330000004</v>
      </c>
      <c r="D6" s="9">
        <v>7.5127259999999998</v>
      </c>
      <c r="E6" s="10">
        <f t="shared" si="0"/>
        <v>31.118433542593497</v>
      </c>
      <c r="F6" s="10">
        <f t="shared" si="1"/>
        <v>31.177764236310495</v>
      </c>
    </row>
    <row r="7" spans="1:6" ht="14.25">
      <c r="A7" s="6">
        <f>A6+1</f>
        <v>4</v>
      </c>
      <c r="B7" s="6">
        <v>227.83</v>
      </c>
      <c r="C7" s="10">
        <v>7.3856839150000004</v>
      </c>
      <c r="D7" s="10">
        <v>7.3784989999999997</v>
      </c>
      <c r="E7" s="10">
        <f t="shared" si="0"/>
        <v>30.847515629160256</v>
      </c>
      <c r="F7" s="10">
        <f t="shared" si="1"/>
        <v>30.877553822261142</v>
      </c>
    </row>
    <row r="8" spans="1:6" ht="14.25">
      <c r="A8" s="6">
        <f>A7+1</f>
        <v>5</v>
      </c>
      <c r="B8" s="6">
        <v>227.94</v>
      </c>
      <c r="C8" s="10">
        <v>7.3923849410000004</v>
      </c>
      <c r="D8" s="10">
        <v>7.3810149999999997</v>
      </c>
      <c r="E8" s="10">
        <f t="shared" si="0"/>
        <v>30.834433247082174</v>
      </c>
      <c r="F8" s="10">
        <f t="shared" si="1"/>
        <v>30.881931550064593</v>
      </c>
    </row>
    <row r="9" spans="1:6" ht="14.25">
      <c r="A9" s="6">
        <f>A8+1</f>
        <v>6</v>
      </c>
      <c r="B9" s="6">
        <v>246.09</v>
      </c>
      <c r="C9" s="10">
        <v>7.9496381659999997</v>
      </c>
      <c r="D9" s="10">
        <v>7.917351</v>
      </c>
      <c r="E9" s="10">
        <f t="shared" si="0"/>
        <v>30.956125909290851</v>
      </c>
      <c r="F9" s="10">
        <f t="shared" si="1"/>
        <v>31.08236580644208</v>
      </c>
    </row>
    <row r="10" spans="1:6" ht="14.25">
      <c r="A10" s="6">
        <f>A9+1</f>
        <v>7</v>
      </c>
      <c r="B10" s="6">
        <v>231.8</v>
      </c>
      <c r="C10" s="10">
        <v>7.5421208489999998</v>
      </c>
      <c r="D10" s="10">
        <v>7.5193070000000004</v>
      </c>
      <c r="E10" s="10">
        <f t="shared" si="0"/>
        <v>30.734060702664831</v>
      </c>
      <c r="F10" s="10">
        <f t="shared" si="1"/>
        <v>30.827308952806423</v>
      </c>
    </row>
    <row r="11" spans="1:6" ht="14.25">
      <c r="A11" s="6">
        <f>A10+1</f>
        <v>8</v>
      </c>
      <c r="B11" s="6">
        <v>226.57</v>
      </c>
      <c r="C11" s="10">
        <v>7.3569178419999997</v>
      </c>
      <c r="D11" s="10">
        <v>7.3428490000000002</v>
      </c>
      <c r="E11" s="10">
        <f t="shared" si="0"/>
        <v>30.796864239332905</v>
      </c>
      <c r="F11" s="10">
        <f t="shared" si="1"/>
        <v>30.855870793475393</v>
      </c>
    </row>
    <row r="12" spans="1:6" ht="14.25">
      <c r="A12" s="6">
        <f>A11+1</f>
        <v>9</v>
      </c>
      <c r="B12" s="6">
        <v>237.91</v>
      </c>
      <c r="C12" s="10">
        <v>7.6858399540000004</v>
      </c>
      <c r="D12" s="10">
        <v>7.6659249999999997</v>
      </c>
      <c r="E12" s="10">
        <f t="shared" si="0"/>
        <v>30.954326582897771</v>
      </c>
      <c r="F12" s="10">
        <f t="shared" si="1"/>
        <v>31.034741404331506</v>
      </c>
    </row>
    <row r="13" spans="1:6" ht="14.25">
      <c r="A13" s="6">
        <f>A12+1</f>
        <v>10</v>
      </c>
      <c r="B13" s="6">
        <v>239.88</v>
      </c>
      <c r="C13" s="10">
        <v>7.7757790350000002</v>
      </c>
      <c r="D13" s="10">
        <v>7.7618330000000002</v>
      </c>
      <c r="E13" s="10">
        <f t="shared" si="0"/>
        <v>30.849642064192221</v>
      </c>
      <c r="F13" s="10">
        <f t="shared" si="1"/>
        <v>30.905071005779174</v>
      </c>
    </row>
    <row r="14" spans="1:6" ht="14.25">
      <c r="A14" s="2" t="s">
        <v>15</v>
      </c>
      <c r="B14" s="10">
        <f>AVERAGE(B4:B13)</f>
        <v>234.286</v>
      </c>
      <c r="C14" s="10">
        <f>AVERAGE(C4:C13)</f>
        <v>7.5847469999000001</v>
      </c>
      <c r="D14" s="10">
        <f>AVERAGE(D4:D13)</f>
        <v>7.5684433000000002</v>
      </c>
      <c r="E14" s="10">
        <f>AVERAGE(E4:E13)</f>
        <v>30.889038093746013</v>
      </c>
      <c r="F14" s="10">
        <f>AVERAGE(F4:F13)</f>
        <v>30.955275886420321</v>
      </c>
    </row>
    <row r="16" spans="1:6" ht="14.25">
      <c r="A16" s="24">
        <v>20000</v>
      </c>
      <c r="B16" s="24"/>
      <c r="C16" s="24"/>
      <c r="D16" s="24"/>
      <c r="E16" s="24"/>
      <c r="F16" s="24"/>
    </row>
    <row r="17" spans="1:6" ht="14.25">
      <c r="A17" s="2">
        <v>1</v>
      </c>
      <c r="B17" s="2">
        <v>953.21</v>
      </c>
      <c r="C17" s="9">
        <v>30.841956571000001</v>
      </c>
      <c r="D17" s="9">
        <v>30.820519000000001</v>
      </c>
      <c r="E17" s="10">
        <f>B17/C17</f>
        <v>30.906275281389963</v>
      </c>
      <c r="F17" s="10">
        <f>B17/D17</f>
        <v>30.927772501170406</v>
      </c>
    </row>
    <row r="18" spans="1:6" ht="14.25">
      <c r="A18" s="2">
        <v>2</v>
      </c>
      <c r="B18" s="2">
        <v>914.97</v>
      </c>
      <c r="C18" s="9">
        <v>29.761636185</v>
      </c>
      <c r="D18" s="9">
        <v>29.747439</v>
      </c>
      <c r="E18" s="10">
        <f t="shared" ref="E18:E26" si="2">B18/C18</f>
        <v>30.743269432920126</v>
      </c>
      <c r="F18" s="10">
        <f t="shared" ref="F18:F26" si="3">B18/D18</f>
        <v>30.757941885350199</v>
      </c>
    </row>
    <row r="19" spans="1:6" ht="14.25">
      <c r="A19" s="2">
        <v>3</v>
      </c>
      <c r="B19" s="2">
        <v>956.64</v>
      </c>
      <c r="C19" s="9">
        <v>30.808722029999998</v>
      </c>
      <c r="D19" s="9">
        <v>30.795352999999999</v>
      </c>
      <c r="E19" s="10">
        <f t="shared" si="2"/>
        <v>31.050947165821146</v>
      </c>
      <c r="F19" s="10">
        <f t="shared" si="3"/>
        <v>31.064427155616631</v>
      </c>
    </row>
    <row r="20" spans="1:6" ht="14.25">
      <c r="A20" s="6">
        <f>A19+1</f>
        <v>4</v>
      </c>
      <c r="B20" s="6">
        <v>917.14</v>
      </c>
      <c r="C20" s="10">
        <v>29.720584795000001</v>
      </c>
      <c r="D20" s="10">
        <v>29.711988999999999</v>
      </c>
      <c r="E20" s="10">
        <f t="shared" si="2"/>
        <v>30.858746768478582</v>
      </c>
      <c r="F20" s="10">
        <f t="shared" si="3"/>
        <v>30.867674325000593</v>
      </c>
    </row>
    <row r="21" spans="1:6" ht="14.25">
      <c r="A21" s="6">
        <f>A20+1</f>
        <v>5</v>
      </c>
      <c r="B21" s="6">
        <v>962.74</v>
      </c>
      <c r="C21" s="10">
        <v>30.902014522999998</v>
      </c>
      <c r="D21" s="10">
        <v>30.891359000000001</v>
      </c>
      <c r="E21" s="10">
        <f t="shared" si="2"/>
        <v>31.154603182373247</v>
      </c>
      <c r="F21" s="10">
        <f t="shared" si="3"/>
        <v>31.165349507608259</v>
      </c>
    </row>
    <row r="22" spans="1:6" ht="14.25">
      <c r="A22" s="6">
        <f>A21+1</f>
        <v>6</v>
      </c>
      <c r="B22" s="6">
        <v>904.24</v>
      </c>
      <c r="C22" s="10">
        <v>29.300076316999998</v>
      </c>
      <c r="D22" s="10">
        <v>29.291616999999999</v>
      </c>
      <c r="E22" s="10">
        <f t="shared" si="2"/>
        <v>30.86135306328049</v>
      </c>
      <c r="F22" s="10">
        <f t="shared" si="3"/>
        <v>30.870265714589948</v>
      </c>
    </row>
    <row r="23" spans="1:6" ht="14.25">
      <c r="A23" s="6">
        <f>A22+1</f>
        <v>7</v>
      </c>
      <c r="B23" s="6">
        <v>963.8</v>
      </c>
      <c r="C23" s="10">
        <v>31.033353752</v>
      </c>
      <c r="D23" s="10">
        <v>31.016490999999998</v>
      </c>
      <c r="E23" s="10">
        <f t="shared" si="2"/>
        <v>31.056907600194069</v>
      </c>
      <c r="F23" s="10">
        <f t="shared" si="3"/>
        <v>31.073792325508389</v>
      </c>
    </row>
    <row r="24" spans="1:6" ht="14.25">
      <c r="A24" s="6">
        <f>A23+1</f>
        <v>8</v>
      </c>
      <c r="B24" s="6">
        <v>992.66</v>
      </c>
      <c r="C24" s="10">
        <v>31.889330352000002</v>
      </c>
      <c r="D24" s="10">
        <v>31.872551999999999</v>
      </c>
      <c r="E24" s="10">
        <f t="shared" si="2"/>
        <v>31.128279867994888</v>
      </c>
      <c r="F24" s="10">
        <f t="shared" si="3"/>
        <v>31.144666420184993</v>
      </c>
    </row>
    <row r="25" spans="1:6" ht="14.25">
      <c r="A25" s="6">
        <f>A24+1</f>
        <v>9</v>
      </c>
      <c r="B25" s="6">
        <v>1017.98</v>
      </c>
      <c r="C25" s="10">
        <v>32.885920865000003</v>
      </c>
      <c r="D25" s="10">
        <v>32.868443999999997</v>
      </c>
      <c r="E25" s="10">
        <f t="shared" si="2"/>
        <v>30.954888086573881</v>
      </c>
      <c r="F25" s="10">
        <f t="shared" si="3"/>
        <v>30.971347472365899</v>
      </c>
    </row>
    <row r="26" spans="1:6" ht="14.25">
      <c r="A26" s="6">
        <f>A25+1</f>
        <v>10</v>
      </c>
      <c r="B26" s="6">
        <v>936.33</v>
      </c>
      <c r="C26" s="10">
        <v>30.340255040999999</v>
      </c>
      <c r="D26" s="10">
        <v>30.324601999999999</v>
      </c>
      <c r="E26" s="10">
        <f t="shared" si="2"/>
        <v>30.860979867660966</v>
      </c>
      <c r="F26" s="10">
        <f t="shared" si="3"/>
        <v>30.87690977774416</v>
      </c>
    </row>
    <row r="27" spans="1:6" ht="14.25">
      <c r="A27" s="2" t="s">
        <v>15</v>
      </c>
      <c r="B27" s="10">
        <f>AVERAGE(B17:B26)</f>
        <v>951.97099999999989</v>
      </c>
      <c r="C27" s="10">
        <f>AVERAGE(C17:C26)</f>
        <v>30.748385043099994</v>
      </c>
      <c r="D27" s="10">
        <f>AVERAGE(D17:D26)</f>
        <v>30.734036500000002</v>
      </c>
      <c r="E27" s="10">
        <f>AVERAGE(E17:E26)</f>
        <v>30.957625031668734</v>
      </c>
      <c r="F27" s="10">
        <f>AVERAGE(F17:F26)</f>
        <v>30.972014708513949</v>
      </c>
    </row>
    <row r="29" spans="1:6" ht="14.25">
      <c r="A29" s="24">
        <v>50000</v>
      </c>
      <c r="B29" s="24"/>
      <c r="C29" s="24"/>
      <c r="D29" s="24"/>
      <c r="E29" s="24"/>
      <c r="F29" s="24"/>
    </row>
    <row r="30" spans="1:6" ht="14.25">
      <c r="A30" s="2">
        <v>1</v>
      </c>
      <c r="B30" s="2">
        <v>5812.63</v>
      </c>
      <c r="C30" s="9">
        <v>188.11402205300001</v>
      </c>
      <c r="D30" s="9">
        <v>188.09080900000001</v>
      </c>
      <c r="E30" s="10">
        <f>B30/C30</f>
        <v>30.8995041228895</v>
      </c>
      <c r="F30" s="10">
        <f>B30/D30</f>
        <v>30.903317556574493</v>
      </c>
    </row>
    <row r="31" spans="1:6" ht="14.25">
      <c r="A31" s="2">
        <v>2</v>
      </c>
      <c r="B31" s="2">
        <v>5873.28</v>
      </c>
      <c r="C31" s="9">
        <v>187.78961909399999</v>
      </c>
      <c r="D31" s="9">
        <v>187.77271400000001</v>
      </c>
      <c r="E31" s="10">
        <f t="shared" ref="E31:E40" si="4">B31/C31</f>
        <v>31.275850221838247</v>
      </c>
      <c r="F31" s="10">
        <f t="shared" ref="F31:F40" si="5">B31/D31</f>
        <v>31.278665972735524</v>
      </c>
    </row>
    <row r="32" spans="1:6" ht="14.25">
      <c r="A32" s="2">
        <v>3</v>
      </c>
      <c r="B32" s="2">
        <v>5927.66</v>
      </c>
      <c r="C32" s="9">
        <v>190.292361919</v>
      </c>
      <c r="D32" s="9">
        <v>190.267471</v>
      </c>
      <c r="E32" s="10">
        <f t="shared" si="4"/>
        <v>31.150278131095835</v>
      </c>
      <c r="F32" s="10">
        <f>B32/D32</f>
        <v>31.15435323150955</v>
      </c>
    </row>
    <row r="33" spans="1:6" ht="14.25">
      <c r="A33" s="6">
        <f>A32+1</f>
        <v>4</v>
      </c>
      <c r="B33" s="6">
        <v>6363.24</v>
      </c>
      <c r="C33" s="10">
        <v>204.52448021699999</v>
      </c>
      <c r="D33" s="10">
        <v>204.503838</v>
      </c>
      <c r="E33" s="10">
        <f t="shared" si="4"/>
        <v>31.112363631231904</v>
      </c>
      <c r="F33" s="10">
        <f t="shared" si="5"/>
        <v>31.115504052300473</v>
      </c>
    </row>
    <row r="34" spans="1:6" ht="14.25">
      <c r="A34" s="6">
        <f>A33+1</f>
        <v>5</v>
      </c>
      <c r="B34" s="6">
        <v>5842.66</v>
      </c>
      <c r="C34" s="10">
        <v>188.36704308899999</v>
      </c>
      <c r="D34" s="10">
        <v>188.24884399999999</v>
      </c>
      <c r="E34" s="10">
        <f t="shared" si="4"/>
        <v>31.017421647583276</v>
      </c>
      <c r="F34" s="10">
        <f t="shared" si="5"/>
        <v>31.036897097758541</v>
      </c>
    </row>
    <row r="35" spans="1:6" ht="14.25">
      <c r="A35" s="6">
        <f>A34+1</f>
        <v>6</v>
      </c>
      <c r="B35" s="6">
        <v>6318.17</v>
      </c>
      <c r="C35" s="10">
        <v>203.47576388499999</v>
      </c>
      <c r="D35" s="10">
        <v>203.36882800000001</v>
      </c>
      <c r="E35" s="10">
        <f t="shared" si="4"/>
        <v>31.051216515254811</v>
      </c>
      <c r="F35" s="10">
        <f t="shared" si="5"/>
        <v>31.067543940411554</v>
      </c>
    </row>
    <row r="36" spans="1:6" ht="14.25">
      <c r="A36" s="6">
        <f>A35+1</f>
        <v>7</v>
      </c>
      <c r="B36" s="6">
        <v>6293.19</v>
      </c>
      <c r="C36" s="10">
        <v>202.948454258</v>
      </c>
      <c r="D36" s="10">
        <v>202.82905</v>
      </c>
      <c r="E36" s="10">
        <f t="shared" si="4"/>
        <v>31.008809714804364</v>
      </c>
      <c r="F36" s="10">
        <f t="shared" si="5"/>
        <v>31.027064417054657</v>
      </c>
    </row>
    <row r="37" spans="1:6" ht="14.25">
      <c r="A37" s="6">
        <f>A36+1</f>
        <v>8</v>
      </c>
      <c r="B37" s="6">
        <v>5613.83</v>
      </c>
      <c r="C37" s="10">
        <v>181.08918289100001</v>
      </c>
      <c r="D37" s="10">
        <v>181.06739999999999</v>
      </c>
      <c r="E37" s="10">
        <f t="shared" si="4"/>
        <v>31.000360763563879</v>
      </c>
      <c r="F37" s="10">
        <f t="shared" si="5"/>
        <v>31.004090189619998</v>
      </c>
    </row>
    <row r="38" spans="1:6" ht="14.25">
      <c r="A38" s="6">
        <f>A37+1</f>
        <v>9</v>
      </c>
      <c r="B38" s="6">
        <v>5713.92</v>
      </c>
      <c r="C38" s="10">
        <v>183.027280023</v>
      </c>
      <c r="D38" s="10">
        <v>183.01327800000001</v>
      </c>
      <c r="E38" s="10">
        <f t="shared" si="4"/>
        <v>31.218952711759492</v>
      </c>
      <c r="F38" s="10">
        <f t="shared" si="5"/>
        <v>31.221341218750258</v>
      </c>
    </row>
    <row r="39" spans="1:6" ht="14.25">
      <c r="A39" s="6">
        <f>A38+1</f>
        <v>10</v>
      </c>
      <c r="B39" s="6">
        <v>6066.68</v>
      </c>
      <c r="C39" s="10">
        <v>195.18416765000001</v>
      </c>
      <c r="D39" s="10">
        <v>195.114069</v>
      </c>
      <c r="E39" s="10">
        <f t="shared" si="4"/>
        <v>31.081824274183134</v>
      </c>
      <c r="F39" s="10">
        <f t="shared" si="5"/>
        <v>31.092991044126091</v>
      </c>
    </row>
    <row r="40" spans="1:6" ht="14.25">
      <c r="A40" s="2" t="s">
        <v>15</v>
      </c>
      <c r="B40" s="10">
        <f>AVERAGE(B30:B39)</f>
        <v>5982.5259999999998</v>
      </c>
      <c r="C40" s="10">
        <f>AVERAGE(C30:C39)</f>
        <v>192.48123750790003</v>
      </c>
      <c r="D40" s="10">
        <f>AVERAGE(D30:D39)</f>
        <v>192.42763010000002</v>
      </c>
      <c r="E40" s="10">
        <f t="shared" si="4"/>
        <v>31.08108653839291</v>
      </c>
      <c r="F40" s="10">
        <f t="shared" si="5"/>
        <v>31.089745255871129</v>
      </c>
    </row>
  </sheetData>
  <mergeCells count="3">
    <mergeCell ref="A3:F3"/>
    <mergeCell ref="A16:F16"/>
    <mergeCell ref="A29:F29"/>
  </mergeCells>
  <pageMargins left="0.74805555555555603" right="0.74805555555555603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"/>
  <sheetViews>
    <sheetView zoomScaleNormal="100" zoomScaleSheetLayoutView="100" workbookViewId="0">
      <selection activeCell="J21" sqref="J21"/>
    </sheetView>
  </sheetViews>
  <sheetFormatPr defaultRowHeight="15.75" customHeight="1"/>
  <cols>
    <col min="1" max="1024" width="11.75" customWidth="1"/>
    <col min="1025" max="1025" width="9" customWidth="1"/>
  </cols>
  <sheetData>
    <row r="1" spans="1:6" ht="14.25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 ht="14.25">
      <c r="A3" s="24">
        <v>10000</v>
      </c>
      <c r="B3" s="24"/>
      <c r="C3" s="24"/>
      <c r="D3" s="24"/>
      <c r="E3" s="24"/>
      <c r="F3" s="24"/>
    </row>
    <row r="4" spans="1:6" ht="14.25">
      <c r="A4" s="2">
        <v>1</v>
      </c>
      <c r="B4" s="2">
        <v>152.29</v>
      </c>
      <c r="C4" s="9">
        <v>4.9770947579999998</v>
      </c>
      <c r="D4" s="9">
        <v>4.9625079999999997</v>
      </c>
      <c r="E4" s="10">
        <f>B4/C4</f>
        <v>30.598171705534565</v>
      </c>
      <c r="F4" s="10">
        <f>B4/D4</f>
        <v>30.688111737049088</v>
      </c>
    </row>
    <row r="5" spans="1:6" ht="14.25">
      <c r="A5" s="2">
        <v>2</v>
      </c>
      <c r="B5" s="2">
        <v>153.30000000000001</v>
      </c>
      <c r="C5" s="9">
        <v>5.0008251970000002</v>
      </c>
      <c r="D5" s="9">
        <v>4.9890879999999997</v>
      </c>
      <c r="E5" s="10">
        <f t="shared" ref="E5:E13" si="0">B5/C5</f>
        <v>30.654940726975386</v>
      </c>
      <c r="F5" s="10">
        <f t="shared" ref="F5:F13" si="1">B5/D5</f>
        <v>30.727058732978858</v>
      </c>
    </row>
    <row r="6" spans="1:6" ht="14.25">
      <c r="A6" s="2">
        <v>3</v>
      </c>
      <c r="B6" s="2">
        <v>154.44</v>
      </c>
      <c r="C6" s="9">
        <v>5.0417130449999998</v>
      </c>
      <c r="D6" s="9">
        <v>5.022939</v>
      </c>
      <c r="E6" s="10">
        <f t="shared" si="0"/>
        <v>30.632445484608098</v>
      </c>
      <c r="F6" s="10">
        <f t="shared" si="1"/>
        <v>30.74693919237323</v>
      </c>
    </row>
    <row r="7" spans="1:6" ht="14.25">
      <c r="A7" s="6">
        <f>A6+1</f>
        <v>4</v>
      </c>
      <c r="B7" s="6">
        <v>147.25</v>
      </c>
      <c r="C7" s="10">
        <v>4.7928626310000002</v>
      </c>
      <c r="D7" s="10">
        <v>4.7769159999999999</v>
      </c>
      <c r="E7" s="10">
        <f t="shared" si="0"/>
        <v>30.722766608747396</v>
      </c>
      <c r="F7" s="10">
        <f t="shared" si="1"/>
        <v>30.825327470694482</v>
      </c>
    </row>
    <row r="8" spans="1:6" ht="14.25">
      <c r="A8" s="6">
        <f>A7+1</f>
        <v>5</v>
      </c>
      <c r="B8" s="6">
        <v>147.85</v>
      </c>
      <c r="C8" s="10">
        <v>4.8294620540000004</v>
      </c>
      <c r="D8" s="10">
        <v>4.817475</v>
      </c>
      <c r="E8" s="10">
        <f t="shared" si="0"/>
        <v>30.61417572947763</v>
      </c>
      <c r="F8" s="10">
        <f t="shared" si="1"/>
        <v>30.690351273229233</v>
      </c>
    </row>
    <row r="9" spans="1:6" ht="14.25">
      <c r="A9" s="6">
        <f>A8+1</f>
        <v>6</v>
      </c>
      <c r="B9" s="6">
        <v>150.22999999999999</v>
      </c>
      <c r="C9" s="10">
        <v>4.9012003560000004</v>
      </c>
      <c r="D9" s="10">
        <v>4.8898260000000002</v>
      </c>
      <c r="E9" s="10">
        <f t="shared" si="0"/>
        <v>30.651674913899395</v>
      </c>
      <c r="F9" s="10">
        <f t="shared" si="1"/>
        <v>30.722974600732211</v>
      </c>
    </row>
    <row r="10" spans="1:6" ht="14.25">
      <c r="A10" s="6">
        <f>A9+1</f>
        <v>7</v>
      </c>
      <c r="B10" s="6">
        <v>159.51</v>
      </c>
      <c r="C10" s="10">
        <v>5.2312791860000001</v>
      </c>
      <c r="D10" s="10">
        <v>5.2196949999999998</v>
      </c>
      <c r="E10" s="10">
        <f t="shared" si="0"/>
        <v>30.491586154851415</v>
      </c>
      <c r="F10" s="10">
        <f t="shared" si="1"/>
        <v>30.559256814813892</v>
      </c>
    </row>
    <row r="11" spans="1:6" ht="14.25">
      <c r="A11" s="6">
        <f>A10+1</f>
        <v>8</v>
      </c>
      <c r="B11" s="6">
        <v>158.35</v>
      </c>
      <c r="C11" s="10">
        <v>5.1807494250000001</v>
      </c>
      <c r="D11" s="10">
        <v>5.1651280000000002</v>
      </c>
      <c r="E11" s="10">
        <f t="shared" si="0"/>
        <v>30.565076016970266</v>
      </c>
      <c r="F11" s="10">
        <f t="shared" si="1"/>
        <v>30.657517103157947</v>
      </c>
    </row>
    <row r="12" spans="1:6" ht="14.25">
      <c r="A12" s="6">
        <f>A11+1</f>
        <v>9</v>
      </c>
      <c r="B12" s="6">
        <v>148.65</v>
      </c>
      <c r="C12" s="10">
        <v>4.8670890980000001</v>
      </c>
      <c r="D12" s="10">
        <v>4.8526809999999996</v>
      </c>
      <c r="E12" s="10">
        <f t="shared" si="0"/>
        <v>30.541869484387238</v>
      </c>
      <c r="F12" s="10">
        <f t="shared" si="1"/>
        <v>30.632551366966016</v>
      </c>
    </row>
    <row r="13" spans="1:6" ht="14.25">
      <c r="A13" s="6">
        <f>A12+1</f>
        <v>10</v>
      </c>
      <c r="B13" s="6">
        <v>152.86000000000001</v>
      </c>
      <c r="C13" s="10">
        <v>4.9905712089999996</v>
      </c>
      <c r="D13" s="10">
        <v>4.9806840000000001</v>
      </c>
      <c r="E13" s="10">
        <f t="shared" si="0"/>
        <v>30.629760321690668</v>
      </c>
      <c r="F13" s="10">
        <f t="shared" si="1"/>
        <v>30.690563786018146</v>
      </c>
    </row>
    <row r="14" spans="1:6" ht="14.25">
      <c r="A14" s="2" t="s">
        <v>15</v>
      </c>
      <c r="B14" s="10">
        <f>AVERAGE(B4:B13)</f>
        <v>152.47300000000001</v>
      </c>
      <c r="C14" s="10">
        <f>AVERAGE(C4:C13)</f>
        <v>4.9812846959000003</v>
      </c>
      <c r="D14" s="10">
        <f>AVERAGE(D4:D13)</f>
        <v>4.9676939999999998</v>
      </c>
      <c r="E14" s="10">
        <f>AVERAGE(E4:E13)</f>
        <v>30.610246714714208</v>
      </c>
      <c r="F14" s="10">
        <f>AVERAGE(F4:F13)</f>
        <v>30.694065207801305</v>
      </c>
    </row>
    <row r="16" spans="1:6" ht="14.25">
      <c r="A16" s="24">
        <v>20000</v>
      </c>
      <c r="B16" s="24"/>
      <c r="C16" s="24"/>
      <c r="D16" s="24"/>
      <c r="E16" s="24"/>
      <c r="F16" s="24"/>
    </row>
    <row r="17" spans="1:6" ht="14.25">
      <c r="A17" s="2">
        <v>1</v>
      </c>
      <c r="B17" s="2">
        <v>589.30999999999995</v>
      </c>
      <c r="C17" s="9">
        <v>19.158526876</v>
      </c>
      <c r="D17" s="9">
        <v>19.139272999999999</v>
      </c>
      <c r="E17" s="10">
        <f>B17/C17</f>
        <v>30.759671858603706</v>
      </c>
      <c r="F17" s="10">
        <f>B17/D17</f>
        <v>30.79061571460943</v>
      </c>
    </row>
    <row r="18" spans="1:6" ht="14.25">
      <c r="A18" s="2">
        <v>2</v>
      </c>
      <c r="B18" s="2">
        <v>605.29999999999995</v>
      </c>
      <c r="C18" s="9">
        <v>19.841963849999999</v>
      </c>
      <c r="D18" s="9">
        <v>19.841963849999999</v>
      </c>
      <c r="E18" s="10">
        <f t="shared" ref="E18:E26" si="2">B18/C18</f>
        <v>30.506052958059389</v>
      </c>
      <c r="F18" s="10">
        <f t="shared" ref="F18:F26" si="3">B18/D18</f>
        <v>30.506052958059389</v>
      </c>
    </row>
    <row r="19" spans="1:6" ht="14.25">
      <c r="A19" s="2">
        <v>3</v>
      </c>
      <c r="B19" s="2">
        <v>577.03</v>
      </c>
      <c r="C19" s="9">
        <v>18.660386424999999</v>
      </c>
      <c r="D19" s="9">
        <v>18.646381000000002</v>
      </c>
      <c r="E19" s="10">
        <f t="shared" si="2"/>
        <v>30.922725117146122</v>
      </c>
      <c r="F19" s="10">
        <f t="shared" si="3"/>
        <v>30.94595138863675</v>
      </c>
    </row>
    <row r="20" spans="1:6" ht="14.25">
      <c r="A20" s="6">
        <f>A19+1</f>
        <v>4</v>
      </c>
      <c r="B20" s="6">
        <v>560.02</v>
      </c>
      <c r="C20" s="10">
        <v>18.329400273000001</v>
      </c>
      <c r="D20" s="10">
        <v>18.318190000000001</v>
      </c>
      <c r="E20" s="10">
        <f>B20/C20</f>
        <v>30.553100028315363</v>
      </c>
      <c r="F20" s="10">
        <f t="shared" si="3"/>
        <v>30.571797759494793</v>
      </c>
    </row>
    <row r="21" spans="1:6" ht="14.25">
      <c r="A21" s="6">
        <f>A20+1</f>
        <v>5</v>
      </c>
      <c r="B21" s="6">
        <v>592.74</v>
      </c>
      <c r="C21" s="10">
        <v>19.299751751999999</v>
      </c>
      <c r="D21" s="10">
        <v>19.283664999999999</v>
      </c>
      <c r="E21" s="10">
        <f t="shared" si="2"/>
        <v>30.712312138345272</v>
      </c>
      <c r="F21" s="10">
        <f t="shared" si="3"/>
        <v>30.737932856643177</v>
      </c>
    </row>
    <row r="22" spans="1:6" ht="14.25">
      <c r="A22" s="6">
        <f>A21+1</f>
        <v>6</v>
      </c>
      <c r="B22" s="6">
        <v>589.17999999999995</v>
      </c>
      <c r="C22" s="10">
        <v>19.213844460000001</v>
      </c>
      <c r="D22" s="10">
        <v>19.177520999999999</v>
      </c>
      <c r="E22" s="10">
        <f t="shared" si="2"/>
        <v>30.664347326563085</v>
      </c>
      <c r="F22" s="10">
        <f t="shared" si="3"/>
        <v>30.722427575493203</v>
      </c>
    </row>
    <row r="23" spans="1:6" ht="14.25">
      <c r="A23" s="6">
        <f>A22+1</f>
        <v>7</v>
      </c>
      <c r="B23" s="6">
        <v>611.27</v>
      </c>
      <c r="C23" s="10">
        <v>19.894798697999999</v>
      </c>
      <c r="D23" s="10">
        <v>19.838460999999999</v>
      </c>
      <c r="E23" s="10">
        <f t="shared" si="2"/>
        <v>30.725116110948651</v>
      </c>
      <c r="F23" s="10">
        <f t="shared" si="3"/>
        <v>30.812369971642458</v>
      </c>
    </row>
    <row r="24" spans="1:6" ht="14.25">
      <c r="A24" s="6">
        <f>A23+1</f>
        <v>8</v>
      </c>
      <c r="B24" s="6">
        <v>585.35</v>
      </c>
      <c r="C24" s="10">
        <v>19.190542885999999</v>
      </c>
      <c r="D24" s="10">
        <v>19.179251000000001</v>
      </c>
      <c r="E24" s="10">
        <f t="shared" si="2"/>
        <v>30.502003172981006</v>
      </c>
      <c r="F24" s="10">
        <f t="shared" si="3"/>
        <v>30.519961389524543</v>
      </c>
    </row>
    <row r="25" spans="1:6" ht="14.25">
      <c r="A25" s="6">
        <f>A24+1</f>
        <v>9</v>
      </c>
      <c r="B25" s="6">
        <v>595.19000000000005</v>
      </c>
      <c r="C25" s="10">
        <v>19.156987806</v>
      </c>
      <c r="D25" s="10">
        <v>19.149667999999998</v>
      </c>
      <c r="E25" s="10">
        <f t="shared" si="2"/>
        <v>31.069080694073708</v>
      </c>
      <c r="F25" s="10">
        <f t="shared" si="3"/>
        <v>31.080956599352014</v>
      </c>
    </row>
    <row r="26" spans="1:6" ht="14.25">
      <c r="A26" s="6">
        <f>A25+1</f>
        <v>10</v>
      </c>
      <c r="B26" s="6">
        <v>611.91</v>
      </c>
      <c r="C26" s="10">
        <v>19.951117278000002</v>
      </c>
      <c r="D26" s="10">
        <v>19.934739</v>
      </c>
      <c r="E26" s="10">
        <f t="shared" si="2"/>
        <v>30.670462785297246</v>
      </c>
      <c r="F26" s="10">
        <f t="shared" si="3"/>
        <v>30.695661478186395</v>
      </c>
    </row>
    <row r="27" spans="1:6" ht="14.25">
      <c r="A27" s="2" t="s">
        <v>15</v>
      </c>
      <c r="B27" s="6">
        <f>AVERAGE(B17:B26)</f>
        <v>591.7299999999999</v>
      </c>
      <c r="C27" s="10">
        <f>AVERAGE(C17:C26)</f>
        <v>19.2697320304</v>
      </c>
      <c r="D27" s="10">
        <f>AVERAGE(D17:D26)</f>
        <v>19.250911285000001</v>
      </c>
      <c r="E27" s="10">
        <f>AVERAGE(E17:E26)</f>
        <v>30.708487219033351</v>
      </c>
      <c r="F27" s="10">
        <f>AVERAGE(F17:F26)</f>
        <v>30.738372769164208</v>
      </c>
    </row>
    <row r="29" spans="1:6" ht="14.25">
      <c r="A29" s="24">
        <v>50000</v>
      </c>
      <c r="B29" s="24"/>
      <c r="C29" s="24"/>
      <c r="D29" s="24"/>
      <c r="E29" s="24"/>
      <c r="F29" s="24"/>
    </row>
    <row r="30" spans="1:6" ht="14.25">
      <c r="A30" s="2">
        <v>1</v>
      </c>
      <c r="B30" s="2">
        <v>4102.26</v>
      </c>
      <c r="C30" s="9">
        <v>134.16699922500001</v>
      </c>
      <c r="D30" s="9">
        <v>134.14325600000001</v>
      </c>
      <c r="E30" s="10">
        <f>B30/C30</f>
        <v>30.575775143636108</v>
      </c>
      <c r="F30" s="10">
        <f>B30/D30</f>
        <v>30.581187025906097</v>
      </c>
    </row>
    <row r="31" spans="1:6" ht="14.25">
      <c r="A31" s="2">
        <v>2</v>
      </c>
      <c r="B31" s="2">
        <v>4072.27</v>
      </c>
      <c r="C31" s="9">
        <v>133.04932092600001</v>
      </c>
      <c r="D31" s="9">
        <v>133.03070700000001</v>
      </c>
      <c r="E31" s="10">
        <f>B31/C31</f>
        <v>30.607221229373536</v>
      </c>
      <c r="F31" s="10">
        <f t="shared" ref="F31:F39" si="4">B31/D31</f>
        <v>30.611503853768138</v>
      </c>
    </row>
    <row r="32" spans="1:6" ht="14.25">
      <c r="A32" s="2">
        <v>3</v>
      </c>
      <c r="B32" s="2">
        <v>3985.88</v>
      </c>
      <c r="C32" s="9">
        <v>130.04621698400001</v>
      </c>
      <c r="D32" s="9">
        <v>130.02387200000001</v>
      </c>
      <c r="E32" s="10">
        <f>B32/C32</f>
        <v>30.64971894176972</v>
      </c>
      <c r="F32" s="10">
        <f t="shared" si="4"/>
        <v>30.654986185921302</v>
      </c>
    </row>
    <row r="33" spans="1:6" ht="14.25">
      <c r="A33" s="6">
        <f>A32+1</f>
        <v>4</v>
      </c>
      <c r="B33" s="6">
        <v>3996.37</v>
      </c>
      <c r="C33" s="10">
        <v>126.047906427</v>
      </c>
      <c r="D33" s="10">
        <v>126.021254</v>
      </c>
      <c r="E33" s="10">
        <f t="shared" ref="E33:E39" si="5">B33/C33</f>
        <v>31.705167608749434</v>
      </c>
      <c r="F33" s="10">
        <f t="shared" si="4"/>
        <v>31.711872982949366</v>
      </c>
    </row>
    <row r="34" spans="1:6" ht="14.25">
      <c r="A34" s="6">
        <f>A33+1</f>
        <v>5</v>
      </c>
      <c r="B34" s="6">
        <v>4010.26</v>
      </c>
      <c r="C34" s="10">
        <v>126.485100898</v>
      </c>
      <c r="D34" s="10">
        <v>126.445616</v>
      </c>
      <c r="E34" s="10">
        <f t="shared" si="5"/>
        <v>31.705394323351573</v>
      </c>
      <c r="F34" s="10">
        <f t="shared" si="4"/>
        <v>31.715294898005798</v>
      </c>
    </row>
    <row r="35" spans="1:6" ht="14.25">
      <c r="A35" s="6">
        <f>A34+1</f>
        <v>6</v>
      </c>
      <c r="B35" s="6">
        <v>4037.66</v>
      </c>
      <c r="C35" s="10">
        <v>127.14355531299999</v>
      </c>
      <c r="D35" s="10">
        <v>127.098696</v>
      </c>
      <c r="E35" s="10">
        <f t="shared" si="5"/>
        <v>31.756702021271565</v>
      </c>
      <c r="F35" s="10">
        <f t="shared" si="4"/>
        <v>31.767910506335955</v>
      </c>
    </row>
    <row r="36" spans="1:6" ht="14.25">
      <c r="A36" s="6">
        <f>A35+1</f>
        <v>7</v>
      </c>
      <c r="B36" s="6">
        <v>4218.95</v>
      </c>
      <c r="C36" s="10">
        <v>133.407453078</v>
      </c>
      <c r="D36" s="10">
        <v>133.374821</v>
      </c>
      <c r="E36" s="10">
        <f t="shared" si="5"/>
        <v>31.624544976008838</v>
      </c>
      <c r="F36" s="10">
        <f t="shared" si="4"/>
        <v>31.632282378095937</v>
      </c>
    </row>
    <row r="37" spans="1:6" ht="14.25">
      <c r="A37" s="6">
        <f>A36+1</f>
        <v>8</v>
      </c>
      <c r="B37" s="6">
        <v>3899.56</v>
      </c>
      <c r="C37" s="10">
        <v>121.762805253</v>
      </c>
      <c r="D37" s="10">
        <v>121.732499</v>
      </c>
      <c r="E37" s="10">
        <f t="shared" si="5"/>
        <v>32.025871873577934</v>
      </c>
      <c r="F37" s="10">
        <f t="shared" si="4"/>
        <v>32.033844963619778</v>
      </c>
    </row>
    <row r="38" spans="1:6" ht="14.25">
      <c r="A38" s="6">
        <f>A37+1</f>
        <v>9</v>
      </c>
      <c r="B38" s="6">
        <v>4088.11</v>
      </c>
      <c r="C38" s="10">
        <v>124.112227944</v>
      </c>
      <c r="D38" s="10">
        <v>124.053162</v>
      </c>
      <c r="E38" s="10">
        <f t="shared" si="5"/>
        <v>32.938817292399051</v>
      </c>
      <c r="F38" s="10">
        <f t="shared" si="4"/>
        <v>32.954500587417513</v>
      </c>
    </row>
    <row r="39" spans="1:6" ht="14.25">
      <c r="A39" s="6">
        <f>A38+1</f>
        <v>10</v>
      </c>
      <c r="B39" s="6">
        <v>4307.6400000000003</v>
      </c>
      <c r="C39" s="10">
        <v>129.899781932</v>
      </c>
      <c r="D39" s="10">
        <v>129.871872</v>
      </c>
      <c r="E39" s="10">
        <f t="shared" si="5"/>
        <v>33.161256592832203</v>
      </c>
      <c r="F39" s="10">
        <f t="shared" si="4"/>
        <v>33.168383066042203</v>
      </c>
    </row>
    <row r="40" spans="1:6" ht="14.25">
      <c r="A40" s="2" t="s">
        <v>15</v>
      </c>
      <c r="B40" s="10">
        <f>AVERAGE(B30:B39)</f>
        <v>4071.8959999999997</v>
      </c>
      <c r="C40" s="10">
        <f>AVERAGE(C30:C39)</f>
        <v>128.61213679799999</v>
      </c>
      <c r="D40" s="10">
        <f>AVERAGE(D30:D39)</f>
        <v>128.57957549999998</v>
      </c>
      <c r="E40" s="10">
        <f>AVERAGE(E30:E39)</f>
        <v>31.675047000296995</v>
      </c>
      <c r="F40" s="10">
        <f>AVERAGE(F30:F39)</f>
        <v>31.683176644806213</v>
      </c>
    </row>
  </sheetData>
  <mergeCells count="3">
    <mergeCell ref="A3:F3"/>
    <mergeCell ref="A16:F16"/>
    <mergeCell ref="A29:F29"/>
  </mergeCells>
  <pageMargins left="0.74805555555555603" right="0.74805555555555603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AF1A-659B-405C-815C-8E78228E185E}">
  <dimension ref="A1:F40"/>
  <sheetViews>
    <sheetView topLeftCell="A6" zoomScaleNormal="100" zoomScaleSheetLayoutView="100" workbookViewId="0">
      <selection activeCell="B40" sqref="B40"/>
    </sheetView>
  </sheetViews>
  <sheetFormatPr defaultRowHeight="15.75" customHeight="1"/>
  <cols>
    <col min="1" max="1024" width="11.75" customWidth="1"/>
    <col min="1025" max="1025" width="9" customWidth="1"/>
  </cols>
  <sheetData>
    <row r="1" spans="1:6" ht="14.25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 ht="14.25">
      <c r="A3" s="24">
        <v>10000</v>
      </c>
      <c r="B3" s="24"/>
      <c r="C3" s="24"/>
      <c r="D3" s="24"/>
      <c r="E3" s="24"/>
      <c r="F3" s="24"/>
    </row>
    <row r="4" spans="1:6" ht="14.25">
      <c r="A4" s="2">
        <v>1</v>
      </c>
      <c r="B4" s="2">
        <v>58.14</v>
      </c>
      <c r="C4" s="9">
        <v>1.855412764</v>
      </c>
      <c r="D4" s="9">
        <v>1.8458810000000001</v>
      </c>
      <c r="E4" s="10">
        <f>B4/C4</f>
        <v>31.335345497278254</v>
      </c>
      <c r="F4" s="10">
        <f>B4/D4</f>
        <v>31.497155017035226</v>
      </c>
    </row>
    <row r="5" spans="1:6" ht="14.25">
      <c r="A5" s="2">
        <v>2</v>
      </c>
      <c r="B5" s="6">
        <v>59.6</v>
      </c>
      <c r="C5" s="9">
        <v>1.8760027459999999</v>
      </c>
      <c r="D5" s="9">
        <v>1.8429519999999999</v>
      </c>
      <c r="E5" s="10">
        <f t="shared" ref="E5:E13" si="0">B5/C5</f>
        <v>31.769676311550562</v>
      </c>
      <c r="F5" s="10">
        <f t="shared" ref="F5:F13" si="1">B5/D5</f>
        <v>32.339420668579542</v>
      </c>
    </row>
    <row r="6" spans="1:6" ht="14.25">
      <c r="A6" s="2">
        <v>3</v>
      </c>
      <c r="B6" s="2">
        <v>58.98</v>
      </c>
      <c r="C6" s="9">
        <v>1.856586214</v>
      </c>
      <c r="D6" s="9">
        <v>1.847494</v>
      </c>
      <c r="E6" s="10">
        <f t="shared" si="0"/>
        <v>31.767983385445948</v>
      </c>
      <c r="F6" s="10">
        <f t="shared" si="1"/>
        <v>31.924325599974885</v>
      </c>
    </row>
    <row r="7" spans="1:6" ht="14.25">
      <c r="A7" s="6">
        <f>A6+1</f>
        <v>4</v>
      </c>
      <c r="B7" s="6">
        <v>60.11</v>
      </c>
      <c r="C7" s="10">
        <v>1.8824621720000001</v>
      </c>
      <c r="D7" s="10">
        <v>1.8687510000000001</v>
      </c>
      <c r="E7" s="10">
        <f t="shared" si="0"/>
        <v>31.931584546071822</v>
      </c>
      <c r="F7" s="10">
        <f t="shared" si="1"/>
        <v>32.165869075120227</v>
      </c>
    </row>
    <row r="8" spans="1:6" ht="14.25">
      <c r="A8" s="6">
        <f>A7+1</f>
        <v>5</v>
      </c>
      <c r="B8" s="6">
        <v>57.78</v>
      </c>
      <c r="C8" s="10">
        <v>1.8404645180000001</v>
      </c>
      <c r="D8" s="10">
        <v>1.8315950000000001</v>
      </c>
      <c r="E8" s="10">
        <f t="shared" si="0"/>
        <v>31.394248264448201</v>
      </c>
      <c r="F8" s="10">
        <f t="shared" si="1"/>
        <v>31.546275240978492</v>
      </c>
    </row>
    <row r="9" spans="1:6" ht="14.25">
      <c r="A9" s="6">
        <f>A8+1</f>
        <v>6</v>
      </c>
      <c r="B9" s="6">
        <v>58.98</v>
      </c>
      <c r="C9" s="10">
        <v>1.8657352760000001</v>
      </c>
      <c r="D9" s="10">
        <v>1.8601719999999999</v>
      </c>
      <c r="E9" s="10">
        <f t="shared" si="0"/>
        <v>31.612201773045101</v>
      </c>
      <c r="F9" s="10">
        <f t="shared" si="1"/>
        <v>31.706745397737414</v>
      </c>
    </row>
    <row r="10" spans="1:6" ht="14.25">
      <c r="A10" s="6">
        <f>A9+1</f>
        <v>7</v>
      </c>
      <c r="B10" s="6">
        <v>58.24</v>
      </c>
      <c r="C10" s="10">
        <v>1.850449829</v>
      </c>
      <c r="D10" s="10">
        <v>1.8406229999999999</v>
      </c>
      <c r="E10" s="10">
        <f t="shared" si="0"/>
        <v>31.473428291473013</v>
      </c>
      <c r="F10" s="10">
        <f t="shared" si="1"/>
        <v>31.641460527223664</v>
      </c>
    </row>
    <row r="11" spans="1:6" ht="14.25">
      <c r="A11" s="6">
        <f>A10+1</f>
        <v>8</v>
      </c>
      <c r="B11" s="6">
        <v>58.94</v>
      </c>
      <c r="C11" s="10">
        <v>1.8561621189999999</v>
      </c>
      <c r="D11" s="10">
        <v>1.8465579999999999</v>
      </c>
      <c r="E11" s="10">
        <f t="shared" si="0"/>
        <v>31.75369187673849</v>
      </c>
      <c r="F11" s="10">
        <f t="shared" si="1"/>
        <v>31.918845766014389</v>
      </c>
    </row>
    <row r="12" spans="1:6" ht="14.25">
      <c r="A12" s="6">
        <f>A11+1</f>
        <v>9</v>
      </c>
      <c r="B12" s="6">
        <v>58.59</v>
      </c>
      <c r="C12" s="10">
        <v>1.8418797650000001</v>
      </c>
      <c r="D12" s="10">
        <v>1.832838</v>
      </c>
      <c r="E12" s="10">
        <f t="shared" si="0"/>
        <v>31.80989395363709</v>
      </c>
      <c r="F12" s="10">
        <f t="shared" si="1"/>
        <v>31.966818671371939</v>
      </c>
    </row>
    <row r="13" spans="1:6" ht="14.25">
      <c r="A13" s="6">
        <f>A12+1</f>
        <v>10</v>
      </c>
      <c r="B13" s="6">
        <v>58.19</v>
      </c>
      <c r="C13" s="10">
        <v>1.8456481389999999</v>
      </c>
      <c r="D13" s="10">
        <v>1.832497</v>
      </c>
      <c r="E13" s="10">
        <f t="shared" si="0"/>
        <v>31.528219691716657</v>
      </c>
      <c r="F13" s="10">
        <f t="shared" si="1"/>
        <v>31.754485819076372</v>
      </c>
    </row>
    <row r="14" spans="1:6" ht="14.25">
      <c r="A14" s="2" t="s">
        <v>15</v>
      </c>
      <c r="B14" s="10">
        <f>AVERAGE(B4:B13)</f>
        <v>58.754999999999995</v>
      </c>
      <c r="C14" s="10">
        <f>AVERAGE(C4:C13)</f>
        <v>1.8570803542000003</v>
      </c>
      <c r="D14" s="10">
        <f>AVERAGE(D4:D13)</f>
        <v>1.8449361</v>
      </c>
      <c r="E14" s="10">
        <f>AVERAGE(E4:E13)</f>
        <v>31.637627359140517</v>
      </c>
      <c r="F14" s="10">
        <f>AVERAGE(F4:F13)</f>
        <v>31.846140178311213</v>
      </c>
    </row>
    <row r="16" spans="1:6" ht="14.25">
      <c r="A16" s="24">
        <v>20000</v>
      </c>
      <c r="B16" s="24"/>
      <c r="C16" s="24"/>
      <c r="D16" s="24"/>
      <c r="E16" s="24"/>
      <c r="F16" s="24"/>
    </row>
    <row r="17" spans="1:6" ht="14.25">
      <c r="A17" s="2">
        <v>1</v>
      </c>
      <c r="B17" s="2">
        <v>238.96</v>
      </c>
      <c r="C17" s="9">
        <v>7.5307846889999999</v>
      </c>
      <c r="D17" s="9">
        <v>7.5237850000000002</v>
      </c>
      <c r="E17" s="10">
        <f>B17/C17</f>
        <v>31.731089105367996</v>
      </c>
      <c r="F17" s="10">
        <f>B17/D17</f>
        <v>31.760609852620721</v>
      </c>
    </row>
    <row r="18" spans="1:6" ht="14.25">
      <c r="A18" s="2">
        <v>2</v>
      </c>
      <c r="B18" s="2">
        <v>230.78</v>
      </c>
      <c r="C18" s="9">
        <v>7.3314273200000004</v>
      </c>
      <c r="D18" s="9">
        <v>7.3209780000000002</v>
      </c>
      <c r="E18" s="10">
        <f t="shared" ref="E18:E26" si="2">B18/C18</f>
        <v>31.478181522776111</v>
      </c>
      <c r="F18" s="10">
        <f t="shared" ref="F18:F26" si="3">B18/D18</f>
        <v>31.523110710071794</v>
      </c>
    </row>
    <row r="19" spans="1:6" ht="14.25">
      <c r="A19" s="2">
        <v>3</v>
      </c>
      <c r="B19" s="2">
        <v>233.16</v>
      </c>
      <c r="C19" s="9">
        <v>7.3855269100000003</v>
      </c>
      <c r="D19" s="9">
        <v>7.3694459999999999</v>
      </c>
      <c r="E19" s="10">
        <f t="shared" si="2"/>
        <v>31.569853152156476</v>
      </c>
      <c r="F19" s="10">
        <f t="shared" si="3"/>
        <v>31.638741908143434</v>
      </c>
    </row>
    <row r="20" spans="1:6" ht="14.25">
      <c r="A20" s="6">
        <f>A19+1</f>
        <v>4</v>
      </c>
      <c r="B20" s="6">
        <v>233.8</v>
      </c>
      <c r="C20" s="10">
        <v>7.3608755459999999</v>
      </c>
      <c r="D20" s="10">
        <v>7.3455709999999996</v>
      </c>
      <c r="E20" s="10">
        <f t="shared" si="2"/>
        <v>31.762525876021652</v>
      </c>
      <c r="F20" s="10">
        <f t="shared" si="3"/>
        <v>31.828703309790352</v>
      </c>
    </row>
    <row r="21" spans="1:6" ht="14.25">
      <c r="A21" s="6">
        <f>A20+1</f>
        <v>5</v>
      </c>
      <c r="B21" s="6">
        <v>232.57</v>
      </c>
      <c r="C21" s="10">
        <v>7.3893813140000004</v>
      </c>
      <c r="D21" s="10">
        <v>7.3641459999999999</v>
      </c>
      <c r="E21" s="10">
        <f t="shared" si="2"/>
        <v>31.473541575039633</v>
      </c>
      <c r="F21" s="10">
        <f t="shared" si="3"/>
        <v>31.581394502498998</v>
      </c>
    </row>
    <row r="22" spans="1:6" ht="14.25">
      <c r="A22" s="6">
        <f>A21+1</f>
        <v>6</v>
      </c>
      <c r="B22" s="6">
        <v>232.34</v>
      </c>
      <c r="C22" s="10">
        <v>7.3624037649999998</v>
      </c>
      <c r="D22" s="10">
        <v>7.3425209999999996</v>
      </c>
      <c r="E22" s="10">
        <f t="shared" si="2"/>
        <v>31.557628108433416</v>
      </c>
      <c r="F22" s="10">
        <f t="shared" si="3"/>
        <v>31.643082804938523</v>
      </c>
    </row>
    <row r="23" spans="1:6" ht="14.25">
      <c r="A23" s="6">
        <f>A22+1</f>
        <v>7</v>
      </c>
      <c r="B23" s="6">
        <v>237.6</v>
      </c>
      <c r="C23" s="10">
        <v>7.5489430070000001</v>
      </c>
      <c r="D23" s="10">
        <v>7.5489430070000001</v>
      </c>
      <c r="E23" s="10">
        <f t="shared" si="2"/>
        <v>31.47460509102768</v>
      </c>
      <c r="F23" s="10">
        <f t="shared" si="3"/>
        <v>31.47460509102768</v>
      </c>
    </row>
    <row r="24" spans="1:6" ht="14.25">
      <c r="A24" s="6">
        <f>A23+1</f>
        <v>8</v>
      </c>
      <c r="B24" s="6">
        <v>233.54</v>
      </c>
      <c r="C24" s="10">
        <v>7.3799202560000001</v>
      </c>
      <c r="D24" s="10">
        <v>7.3638570000000003</v>
      </c>
      <c r="E24" s="10">
        <f t="shared" si="2"/>
        <v>31.645328390930516</v>
      </c>
      <c r="F24" s="10">
        <f t="shared" si="3"/>
        <v>31.714358385829598</v>
      </c>
    </row>
    <row r="25" spans="1:6" ht="14.25">
      <c r="A25" s="6">
        <f>A24+1</f>
        <v>9</v>
      </c>
      <c r="B25" s="6">
        <v>233.96</v>
      </c>
      <c r="C25" s="10">
        <v>7.3586288240000002</v>
      </c>
      <c r="D25" s="10">
        <v>7.346476</v>
      </c>
      <c r="E25" s="10">
        <f t="shared" si="2"/>
        <v>31.793966728821108</v>
      </c>
      <c r="F25" s="10">
        <f t="shared" si="3"/>
        <v>31.846561535081584</v>
      </c>
    </row>
    <row r="26" spans="1:6" ht="14.25">
      <c r="A26" s="6">
        <f>A25+1</f>
        <v>10</v>
      </c>
      <c r="B26" s="6">
        <v>242.13</v>
      </c>
      <c r="C26" s="10">
        <v>7.694667784</v>
      </c>
      <c r="D26" s="10">
        <v>7.6824060000000003</v>
      </c>
      <c r="E26" s="10">
        <f t="shared" si="2"/>
        <v>31.467245473999011</v>
      </c>
      <c r="F26" s="10">
        <f t="shared" si="3"/>
        <v>31.517469917627366</v>
      </c>
    </row>
    <row r="27" spans="1:6" ht="14.25">
      <c r="A27" s="2" t="s">
        <v>15</v>
      </c>
      <c r="B27" s="10">
        <f>AVERAGE(B17:B26)</f>
        <v>234.88399999999996</v>
      </c>
      <c r="C27" s="10">
        <f>AVERAGE(C17:C26)</f>
        <v>7.4342559415</v>
      </c>
      <c r="D27" s="10">
        <f>AVERAGE(D17:D26)</f>
        <v>7.4208129006999997</v>
      </c>
      <c r="E27" s="10">
        <f>AVERAGE(E17:E26)</f>
        <v>31.595396502457362</v>
      </c>
      <c r="F27" s="10">
        <f>AVERAGE(F17:F26)</f>
        <v>31.652863801763004</v>
      </c>
    </row>
    <row r="29" spans="1:6" ht="14.25">
      <c r="A29" s="24">
        <v>50000</v>
      </c>
      <c r="B29" s="24"/>
      <c r="C29" s="24"/>
      <c r="D29" s="24"/>
      <c r="E29" s="24"/>
      <c r="F29" s="24"/>
    </row>
    <row r="30" spans="1:6" ht="14.25">
      <c r="A30" s="2">
        <v>1</v>
      </c>
      <c r="B30" s="2">
        <v>1472.34</v>
      </c>
      <c r="C30" s="9">
        <v>46.434536018999999</v>
      </c>
      <c r="D30" s="9">
        <v>46.414450000000002</v>
      </c>
      <c r="E30" s="10">
        <f>B30/C30</f>
        <v>31.707865012316489</v>
      </c>
      <c r="F30" s="10">
        <f>B30/D30</f>
        <v>31.721586704140627</v>
      </c>
    </row>
    <row r="31" spans="1:6" ht="14.25">
      <c r="A31" s="2">
        <v>2</v>
      </c>
      <c r="B31" s="2">
        <v>1473.81</v>
      </c>
      <c r="C31" s="9">
        <v>46.639645590999997</v>
      </c>
      <c r="D31" s="9">
        <v>46.611528</v>
      </c>
      <c r="E31" s="10">
        <f>B31/C31</f>
        <v>31.599939950752958</v>
      </c>
      <c r="F31" s="10">
        <f>B31/D31</f>
        <v>31.619002063180591</v>
      </c>
    </row>
    <row r="32" spans="1:6" ht="14.25">
      <c r="A32" s="2">
        <v>3</v>
      </c>
      <c r="B32" s="2">
        <v>1464.59</v>
      </c>
      <c r="C32" s="9">
        <v>46.24440577</v>
      </c>
      <c r="D32" s="9">
        <v>46.225642999999998</v>
      </c>
      <c r="E32" s="10">
        <f>B32/C32</f>
        <v>31.670641575204741</v>
      </c>
      <c r="F32" s="10">
        <f>B32/D32</f>
        <v>31.683496538923212</v>
      </c>
    </row>
    <row r="33" spans="1:6" ht="14.25">
      <c r="A33" s="6">
        <f>A32+1</f>
        <v>4</v>
      </c>
      <c r="B33" s="6">
        <v>1487.15</v>
      </c>
      <c r="C33" s="10">
        <v>46.806328637</v>
      </c>
      <c r="D33" s="10">
        <v>46.772896000000003</v>
      </c>
      <c r="E33" s="10">
        <f>B33/C33</f>
        <v>31.772412904532334</v>
      </c>
      <c r="F33" s="10">
        <f>B33/D33</f>
        <v>31.795123397961074</v>
      </c>
    </row>
    <row r="34" spans="1:6" ht="14.25">
      <c r="A34" s="6">
        <f>A33+1</f>
        <v>5</v>
      </c>
      <c r="B34" s="6">
        <v>1770.1</v>
      </c>
      <c r="C34" s="10">
        <v>52.596317779000003</v>
      </c>
      <c r="D34" s="10">
        <v>52.566904999999998</v>
      </c>
      <c r="E34" s="10">
        <f>B34/C34</f>
        <v>33.654447207457231</v>
      </c>
      <c r="F34" s="10">
        <f>B34/D34</f>
        <v>33.673277892240371</v>
      </c>
    </row>
    <row r="35" spans="1:6" ht="14.25">
      <c r="A35" s="6">
        <f>A34+1</f>
        <v>6</v>
      </c>
      <c r="B35" s="6">
        <v>1461.18</v>
      </c>
      <c r="C35" s="10">
        <v>46.020722544000002</v>
      </c>
      <c r="D35" s="10">
        <v>46.005921999999998</v>
      </c>
      <c r="E35" s="10">
        <f>B35/C35</f>
        <v>31.750479332500245</v>
      </c>
      <c r="F35" s="10">
        <f>B35/D35</f>
        <v>31.760693764598393</v>
      </c>
    </row>
    <row r="36" spans="1:6" ht="14.25">
      <c r="A36" s="6">
        <f>A35+1</f>
        <v>7</v>
      </c>
      <c r="B36" s="6">
        <v>1503.92</v>
      </c>
      <c r="C36" s="10">
        <v>47.216701612000001</v>
      </c>
      <c r="D36" s="10">
        <v>47.187840999999999</v>
      </c>
      <c r="E36" s="10">
        <f>B36/C36</f>
        <v>31.851441304781499</v>
      </c>
      <c r="F36" s="10">
        <f>B36/D36</f>
        <v>31.87092200297954</v>
      </c>
    </row>
    <row r="37" spans="1:6" ht="14.25">
      <c r="A37" s="6">
        <f>A36+1</f>
        <v>8</v>
      </c>
      <c r="B37" s="6">
        <v>1472.5</v>
      </c>
      <c r="C37" s="10">
        <v>46.291706212999998</v>
      </c>
      <c r="D37" s="10">
        <v>46.259842999999996</v>
      </c>
      <c r="E37" s="10">
        <f>B37/C37</f>
        <v>31.809153743969823</v>
      </c>
      <c r="F37" s="10">
        <f>B37/D37</f>
        <v>31.831063499285982</v>
      </c>
    </row>
    <row r="38" spans="1:6" ht="14.25">
      <c r="A38" s="6">
        <f>A37+1</f>
        <v>9</v>
      </c>
      <c r="B38" s="6">
        <v>1473.85</v>
      </c>
      <c r="C38" s="10">
        <v>46.458979438</v>
      </c>
      <c r="D38" s="10">
        <v>46.443345999999998</v>
      </c>
      <c r="E38" s="10">
        <f>B38/C38</f>
        <v>31.723684373370023</v>
      </c>
      <c r="F38" s="10">
        <f>B38/D38</f>
        <v>31.734362980651738</v>
      </c>
    </row>
    <row r="39" spans="1:6" ht="14.25">
      <c r="A39" s="6">
        <f>A38+1</f>
        <v>10</v>
      </c>
      <c r="B39" s="6">
        <v>1471.64</v>
      </c>
      <c r="C39" s="10">
        <v>46.409066615999997</v>
      </c>
      <c r="D39" s="10">
        <v>46.390411</v>
      </c>
      <c r="E39" s="10">
        <f>B39/C39</f>
        <v>31.710183102295733</v>
      </c>
      <c r="F39" s="10">
        <f>B39/D39</f>
        <v>31.722935155715696</v>
      </c>
    </row>
    <row r="40" spans="1:6" ht="14.25">
      <c r="A40" s="2" t="s">
        <v>15</v>
      </c>
      <c r="B40" s="10">
        <f>AVERAGE(B30:B39)</f>
        <v>1505.1079999999999</v>
      </c>
      <c r="C40" s="10">
        <f>AVERAGE(C30:C39)</f>
        <v>47.111841021899998</v>
      </c>
      <c r="D40" s="10">
        <f>AVERAGE(D30:D39)</f>
        <v>47.087878500000002</v>
      </c>
      <c r="E40" s="10">
        <f>AVERAGE(E30:E39)</f>
        <v>31.92502485071811</v>
      </c>
      <c r="F40" s="10">
        <f>B40/D40</f>
        <v>31.96380996438393</v>
      </c>
    </row>
  </sheetData>
  <mergeCells count="3">
    <mergeCell ref="A3:F3"/>
    <mergeCell ref="A16:F16"/>
    <mergeCell ref="A29:F29"/>
  </mergeCells>
  <pageMargins left="0.74805555555555603" right="0.74805555555555603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B63E-F6C4-46F5-9C74-78019752F7E5}">
  <dimension ref="A1:F40"/>
  <sheetViews>
    <sheetView zoomScaleNormal="100" zoomScaleSheetLayoutView="100" workbookViewId="0">
      <selection activeCell="I23" sqref="I23"/>
    </sheetView>
  </sheetViews>
  <sheetFormatPr defaultRowHeight="15.75" customHeight="1"/>
  <cols>
    <col min="1" max="1024" width="11.75" customWidth="1"/>
    <col min="1025" max="1025" width="9" customWidth="1"/>
  </cols>
  <sheetData>
    <row r="1" spans="1:6" ht="14.25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6" ht="14.25">
      <c r="A3" s="24">
        <v>10000</v>
      </c>
      <c r="B3" s="24"/>
      <c r="C3" s="24"/>
      <c r="D3" s="24"/>
      <c r="E3" s="24"/>
      <c r="F3" s="24"/>
    </row>
    <row r="4" spans="1:6" ht="14.25">
      <c r="A4" s="2">
        <v>1</v>
      </c>
      <c r="B4" s="2">
        <v>2.14</v>
      </c>
      <c r="C4" s="9">
        <v>6.6283580999999994E-2</v>
      </c>
      <c r="D4" s="9">
        <v>5.7019E-2</v>
      </c>
      <c r="E4" s="10">
        <f>B4/C4</f>
        <v>32.285521809692213</v>
      </c>
      <c r="F4" s="10">
        <f>B4/D4</f>
        <v>37.53134919938968</v>
      </c>
    </row>
    <row r="5" spans="1:6" ht="14.25">
      <c r="A5" s="2">
        <v>2</v>
      </c>
      <c r="B5" s="2">
        <v>2.78</v>
      </c>
      <c r="C5" s="9">
        <v>7.1669956000000007E-2</v>
      </c>
      <c r="D5" s="9">
        <v>6.1428999999999997E-2</v>
      </c>
      <c r="E5" s="10">
        <f t="shared" ref="E5:E13" si="0">B5/C5</f>
        <v>38.788917353318865</v>
      </c>
      <c r="F5" s="10">
        <f t="shared" ref="F5:F13" si="1">B5/D5</f>
        <v>45.255498217454296</v>
      </c>
    </row>
    <row r="6" spans="1:6" ht="14.25">
      <c r="A6" s="2">
        <v>3</v>
      </c>
      <c r="B6" s="2">
        <v>2.02</v>
      </c>
      <c r="C6" s="9">
        <v>6.6087317000000007E-2</v>
      </c>
      <c r="D6" s="9">
        <v>6.1150000000000003E-2</v>
      </c>
      <c r="E6" s="10">
        <f t="shared" si="0"/>
        <v>30.565622750277484</v>
      </c>
      <c r="F6" s="10">
        <f t="shared" si="1"/>
        <v>33.033524121013897</v>
      </c>
    </row>
    <row r="7" spans="1:6" ht="14.25">
      <c r="A7" s="6">
        <f>A6+1</f>
        <v>4</v>
      </c>
      <c r="B7" s="6">
        <v>2.6</v>
      </c>
      <c r="C7" s="10">
        <v>6.9562608999999997E-2</v>
      </c>
      <c r="D7" s="10">
        <v>5.5289999999999999E-2</v>
      </c>
      <c r="E7" s="10">
        <f t="shared" si="0"/>
        <v>37.376401451532679</v>
      </c>
      <c r="F7" s="10">
        <f t="shared" si="1"/>
        <v>47.024778440947735</v>
      </c>
    </row>
    <row r="8" spans="1:6" ht="14.25">
      <c r="A8" s="6">
        <f>A7+1</f>
        <v>5</v>
      </c>
      <c r="B8" s="6">
        <v>2.4300000000000002</v>
      </c>
      <c r="C8" s="10">
        <v>6.8902408999999998E-2</v>
      </c>
      <c r="D8" s="10">
        <v>5.9066E-2</v>
      </c>
      <c r="E8" s="10">
        <f t="shared" si="0"/>
        <v>35.267272004959949</v>
      </c>
      <c r="F8" s="10">
        <f t="shared" si="1"/>
        <v>41.140419192090206</v>
      </c>
    </row>
    <row r="9" spans="1:6" ht="14.25">
      <c r="A9" s="6">
        <f>A8+1</f>
        <v>6</v>
      </c>
      <c r="B9" s="6">
        <v>2.14</v>
      </c>
      <c r="C9" s="10">
        <v>7.1103346999999997E-2</v>
      </c>
      <c r="D9" s="10">
        <v>6.1180999999999999E-2</v>
      </c>
      <c r="E9" s="10">
        <f t="shared" si="0"/>
        <v>30.097036079047026</v>
      </c>
      <c r="F9" s="10">
        <f t="shared" si="1"/>
        <v>34.978179500171628</v>
      </c>
    </row>
    <row r="10" spans="1:6" ht="14.25">
      <c r="A10" s="6">
        <f>A9+1</f>
        <v>7</v>
      </c>
      <c r="B10" s="6">
        <v>2.2599999999999998</v>
      </c>
      <c r="C10" s="10">
        <v>6.679525E-2</v>
      </c>
      <c r="D10" s="10">
        <v>5.7787999999999999E-2</v>
      </c>
      <c r="E10" s="10">
        <f t="shared" si="0"/>
        <v>33.834741242827896</v>
      </c>
      <c r="F10" s="10">
        <f t="shared" si="1"/>
        <v>39.108465425347823</v>
      </c>
    </row>
    <row r="11" spans="1:6" ht="14.25">
      <c r="A11" s="6">
        <f>A10+1</f>
        <v>8</v>
      </c>
      <c r="B11" s="6">
        <v>2.1</v>
      </c>
      <c r="C11" s="10">
        <v>7.3227128000000002E-2</v>
      </c>
      <c r="D11" s="10">
        <v>5.6083000000000001E-2</v>
      </c>
      <c r="E11" s="10">
        <f t="shared" si="0"/>
        <v>28.677896530367818</v>
      </c>
      <c r="F11" s="10">
        <f t="shared" si="1"/>
        <v>37.444501898971168</v>
      </c>
    </row>
    <row r="12" spans="1:6" ht="14.25">
      <c r="A12" s="6">
        <f>A11+1</f>
        <v>9</v>
      </c>
      <c r="B12" s="6">
        <v>2.14</v>
      </c>
      <c r="C12" s="10">
        <v>7.4848290999999997E-2</v>
      </c>
      <c r="D12" s="10">
        <v>6.8856000000000001E-2</v>
      </c>
      <c r="E12" s="10">
        <f t="shared" si="0"/>
        <v>28.591167165059257</v>
      </c>
      <c r="F12" s="10">
        <f t="shared" si="1"/>
        <v>31.079354014174509</v>
      </c>
    </row>
    <row r="13" spans="1:6" ht="14.25">
      <c r="A13" s="6">
        <f>A12+1</f>
        <v>10</v>
      </c>
      <c r="B13" s="6">
        <v>2.0299999999999998</v>
      </c>
      <c r="C13" s="10">
        <v>6.7220151000000006E-2</v>
      </c>
      <c r="D13" s="10">
        <v>5.1468E-2</v>
      </c>
      <c r="E13" s="10">
        <f t="shared" si="0"/>
        <v>30.199277594601053</v>
      </c>
      <c r="F13" s="10">
        <f t="shared" si="1"/>
        <v>39.441983368306516</v>
      </c>
    </row>
    <row r="14" spans="1:6" ht="14.25">
      <c r="A14" s="2" t="s">
        <v>15</v>
      </c>
      <c r="B14" s="10">
        <f>AVERAGE(B4:B13)</f>
        <v>2.2640000000000002</v>
      </c>
      <c r="C14" s="10">
        <f>AVERAGE(C4:C13)</f>
        <v>6.9570003899999996E-2</v>
      </c>
      <c r="D14" s="10">
        <f>AVERAGE(D4:D13)</f>
        <v>5.8932999999999992E-2</v>
      </c>
      <c r="E14" s="10">
        <f>AVERAGE(E4:E13)</f>
        <v>32.568385398168417</v>
      </c>
      <c r="F14" s="10">
        <f>AVERAGE(F4:F13)</f>
        <v>38.603805337786746</v>
      </c>
    </row>
    <row r="16" spans="1:6" ht="14.25">
      <c r="A16" s="24">
        <v>20000</v>
      </c>
      <c r="B16" s="24"/>
      <c r="C16" s="24"/>
      <c r="D16" s="24"/>
      <c r="E16" s="24"/>
      <c r="F16" s="24"/>
    </row>
    <row r="17" spans="1:6" ht="14.25">
      <c r="A17" s="2">
        <v>1</v>
      </c>
      <c r="B17" s="2">
        <v>3.78</v>
      </c>
      <c r="C17" s="9">
        <v>0.123919825</v>
      </c>
      <c r="D17" s="9">
        <v>0.117795</v>
      </c>
      <c r="E17" s="10">
        <f>B17/C17</f>
        <v>30.503593755075105</v>
      </c>
      <c r="F17" s="10">
        <f>B17/D17</f>
        <v>32.089647268559787</v>
      </c>
    </row>
    <row r="18" spans="1:6" ht="14.25">
      <c r="A18" s="2">
        <v>2</v>
      </c>
      <c r="B18" s="2">
        <v>4.32</v>
      </c>
      <c r="C18" s="9">
        <v>0.125734704</v>
      </c>
      <c r="D18" s="9">
        <v>0.11937300000000001</v>
      </c>
      <c r="E18" s="10">
        <f t="shared" ref="E18:E26" si="2">B18/C18</f>
        <v>34.358055990651557</v>
      </c>
      <c r="F18" s="10">
        <f t="shared" ref="F18:F26" si="3">B18/D18</f>
        <v>36.18908798472016</v>
      </c>
    </row>
    <row r="19" spans="1:6" ht="14.25">
      <c r="A19" s="2">
        <v>3</v>
      </c>
      <c r="B19" s="2">
        <v>4.83</v>
      </c>
      <c r="C19" s="9">
        <v>0.128296993</v>
      </c>
      <c r="D19" s="9">
        <v>0.115138</v>
      </c>
      <c r="E19" s="10">
        <f t="shared" si="2"/>
        <v>37.647024197987243</v>
      </c>
      <c r="F19" s="10">
        <f t="shared" si="3"/>
        <v>41.949660407510983</v>
      </c>
    </row>
    <row r="20" spans="1:6" ht="14.25">
      <c r="A20" s="6">
        <f>A19+1</f>
        <v>4</v>
      </c>
      <c r="B20" s="6">
        <v>3.65</v>
      </c>
      <c r="C20" s="10">
        <v>0.11779099899999999</v>
      </c>
      <c r="D20" s="10">
        <v>0.11193500000000001</v>
      </c>
      <c r="E20" s="10">
        <f t="shared" si="2"/>
        <v>30.987087561758432</v>
      </c>
      <c r="F20" s="10">
        <f t="shared" si="3"/>
        <v>32.608210121945767</v>
      </c>
    </row>
    <row r="21" spans="1:6" ht="14.25">
      <c r="A21" s="6">
        <f>A20+1</f>
        <v>5</v>
      </c>
      <c r="B21" s="6">
        <v>3.63</v>
      </c>
      <c r="C21" s="10">
        <v>0.11542495799999999</v>
      </c>
      <c r="D21" s="10">
        <v>0.102092</v>
      </c>
      <c r="E21" s="10">
        <f t="shared" si="2"/>
        <v>31.449004295933989</v>
      </c>
      <c r="F21" s="10">
        <f t="shared" si="3"/>
        <v>35.556165027622143</v>
      </c>
    </row>
    <row r="22" spans="1:6" ht="14.25">
      <c r="A22" s="6">
        <f>A21+1</f>
        <v>6</v>
      </c>
      <c r="B22" s="6">
        <v>3.73</v>
      </c>
      <c r="C22" s="10">
        <v>0.118702856</v>
      </c>
      <c r="D22" s="10">
        <v>9.4094999999999998E-2</v>
      </c>
      <c r="E22" s="10">
        <f t="shared" si="2"/>
        <v>31.423001313464606</v>
      </c>
      <c r="F22" s="10">
        <f t="shared" si="3"/>
        <v>39.640788564748391</v>
      </c>
    </row>
    <row r="23" spans="1:6" ht="14.25">
      <c r="A23" s="6">
        <f>A22+1</f>
        <v>7</v>
      </c>
      <c r="B23" s="6">
        <v>3.53</v>
      </c>
      <c r="C23" s="10">
        <v>0.112024911</v>
      </c>
      <c r="D23" s="10">
        <v>9.8558999999999994E-2</v>
      </c>
      <c r="E23" s="10">
        <f t="shared" si="2"/>
        <v>31.510848511185156</v>
      </c>
      <c r="F23" s="10">
        <f t="shared" si="3"/>
        <v>35.816110147221458</v>
      </c>
    </row>
    <row r="24" spans="1:6" ht="14.25">
      <c r="A24" s="6">
        <f>A23+1</f>
        <v>8</v>
      </c>
      <c r="B24" s="6">
        <v>3.53</v>
      </c>
      <c r="C24" s="10">
        <v>0.112929566</v>
      </c>
      <c r="D24" s="10">
        <v>0.10331899999999999</v>
      </c>
      <c r="E24" s="10">
        <f t="shared" si="2"/>
        <v>31.258421731648202</v>
      </c>
      <c r="F24" s="10">
        <f t="shared" si="3"/>
        <v>34.166029481508723</v>
      </c>
    </row>
    <row r="25" spans="1:6" ht="14.25">
      <c r="A25" s="6">
        <f>A24+1</f>
        <v>9</v>
      </c>
      <c r="B25" s="6">
        <v>3.69</v>
      </c>
      <c r="C25" s="10">
        <v>0.11752961100000001</v>
      </c>
      <c r="D25" s="10">
        <v>0.10528700000000001</v>
      </c>
      <c r="E25" s="10">
        <f t="shared" si="2"/>
        <v>31.396343173466299</v>
      </c>
      <c r="F25" s="10">
        <f t="shared" si="3"/>
        <v>35.047061840493129</v>
      </c>
    </row>
    <row r="26" spans="1:6" ht="14.25">
      <c r="A26" s="6">
        <f>A25+1</f>
        <v>10</v>
      </c>
      <c r="B26" s="6">
        <v>4.2699999999999996</v>
      </c>
      <c r="C26" s="10">
        <v>0.119679485</v>
      </c>
      <c r="D26" s="10">
        <v>0.106696</v>
      </c>
      <c r="E26" s="10">
        <f t="shared" si="2"/>
        <v>35.67862946602753</v>
      </c>
      <c r="F26" s="10">
        <f t="shared" si="3"/>
        <v>40.020244432780984</v>
      </c>
    </row>
    <row r="27" spans="1:6" ht="14.25">
      <c r="A27" s="2" t="s">
        <v>15</v>
      </c>
      <c r="B27" s="10">
        <f>AVERAGE(B17:B26)</f>
        <v>3.8959999999999995</v>
      </c>
      <c r="C27" s="10">
        <f>AVERAGE(C17:C26)</f>
        <v>0.1192033908</v>
      </c>
      <c r="D27" s="10">
        <f>AVERAGE(D17:D26)</f>
        <v>0.10742890000000001</v>
      </c>
      <c r="E27" s="10">
        <f>AVERAGE(E17:E26)</f>
        <v>32.621200999719811</v>
      </c>
      <c r="F27" s="10">
        <f>AVERAGE(F17:F26)</f>
        <v>36.308300527711154</v>
      </c>
    </row>
    <row r="29" spans="1:6" ht="14.25">
      <c r="A29" s="24">
        <v>50000</v>
      </c>
      <c r="B29" s="24"/>
      <c r="C29" s="24"/>
      <c r="D29" s="24"/>
      <c r="E29" s="24"/>
      <c r="F29" s="24"/>
    </row>
    <row r="30" spans="1:6" ht="14.25">
      <c r="A30" s="2">
        <v>1</v>
      </c>
      <c r="B30" s="2">
        <v>8.98</v>
      </c>
      <c r="C30" s="9">
        <v>0.28411076400000002</v>
      </c>
      <c r="D30" s="9">
        <v>0.250309</v>
      </c>
      <c r="E30" s="10">
        <f>B30/C30</f>
        <v>31.607390982201576</v>
      </c>
      <c r="F30" s="10">
        <f>B30/D30</f>
        <v>35.875657687098744</v>
      </c>
    </row>
    <row r="31" spans="1:6" ht="14.25">
      <c r="A31" s="2">
        <v>2</v>
      </c>
      <c r="B31" s="2">
        <v>10.119999999999999</v>
      </c>
      <c r="C31" s="9">
        <v>0.30904946300000002</v>
      </c>
      <c r="D31" s="9">
        <v>0.28180899999999998</v>
      </c>
      <c r="E31" s="10">
        <f t="shared" ref="E31:E39" si="4">B31/C31</f>
        <v>32.745567333343004</v>
      </c>
      <c r="F31" s="10">
        <f>B31/D31</f>
        <v>35.910847417932004</v>
      </c>
    </row>
    <row r="32" spans="1:6" ht="14.25">
      <c r="A32" s="2">
        <v>3</v>
      </c>
      <c r="B32" s="2">
        <v>11.18</v>
      </c>
      <c r="C32" s="9">
        <v>0.29959593499999998</v>
      </c>
      <c r="D32" s="9">
        <v>0.28537899999999999</v>
      </c>
      <c r="E32" s="10">
        <f t="shared" si="4"/>
        <v>37.316928215331096</v>
      </c>
      <c r="F32" s="10">
        <f t="shared" ref="F32:F39" si="5">B32/D32</f>
        <v>39.175973004320568</v>
      </c>
    </row>
    <row r="33" spans="1:6" ht="14.25">
      <c r="A33" s="6">
        <f>A32+1</f>
        <v>4</v>
      </c>
      <c r="B33" s="6">
        <v>8.5</v>
      </c>
      <c r="C33" s="10">
        <v>0.26810209000000002</v>
      </c>
      <c r="D33" s="10">
        <v>0.24837999999999999</v>
      </c>
      <c r="E33" s="10">
        <f t="shared" si="4"/>
        <v>31.704340686042393</v>
      </c>
      <c r="F33" s="10">
        <f t="shared" si="5"/>
        <v>34.221756985264513</v>
      </c>
    </row>
    <row r="34" spans="1:6" ht="14.25">
      <c r="A34" s="6">
        <f>A33+1</f>
        <v>5</v>
      </c>
      <c r="B34" s="6">
        <v>8.8000000000000007</v>
      </c>
      <c r="C34" s="10">
        <v>0.28323536500000002</v>
      </c>
      <c r="D34" s="10">
        <v>0.26378200000000002</v>
      </c>
      <c r="E34" s="10">
        <f t="shared" si="4"/>
        <v>31.069566471686898</v>
      </c>
      <c r="F34" s="10">
        <f t="shared" si="5"/>
        <v>33.360881333828694</v>
      </c>
    </row>
    <row r="35" spans="1:6" ht="14.25">
      <c r="A35" s="6">
        <f>A34+1</f>
        <v>6</v>
      </c>
      <c r="B35" s="6">
        <v>8.9499999999999993</v>
      </c>
      <c r="C35" s="10">
        <v>0.27870540700000002</v>
      </c>
      <c r="D35" s="10">
        <v>0.25952900000000001</v>
      </c>
      <c r="E35" s="10">
        <f t="shared" si="4"/>
        <v>32.112760553655129</v>
      </c>
      <c r="F35" s="10">
        <f t="shared" si="5"/>
        <v>34.485548821133662</v>
      </c>
    </row>
    <row r="36" spans="1:6" ht="14.25">
      <c r="A36" s="6">
        <f>A35+1</f>
        <v>7</v>
      </c>
      <c r="B36" s="6">
        <v>8.67</v>
      </c>
      <c r="C36" s="10">
        <v>0.27792730599999999</v>
      </c>
      <c r="D36" s="10">
        <v>0.27076899999999998</v>
      </c>
      <c r="E36" s="10">
        <f t="shared" si="4"/>
        <v>31.195207569852819</v>
      </c>
      <c r="F36" s="10">
        <f t="shared" si="5"/>
        <v>32.0199136533355</v>
      </c>
    </row>
    <row r="37" spans="1:6" ht="14.25">
      <c r="A37" s="6">
        <f>A36+1</f>
        <v>8</v>
      </c>
      <c r="B37" s="6">
        <v>9.81</v>
      </c>
      <c r="C37" s="10">
        <v>0.29367054300000001</v>
      </c>
      <c r="D37" s="10">
        <v>0.27778599999999998</v>
      </c>
      <c r="E37" s="10">
        <f t="shared" si="4"/>
        <v>33.404780403869111</v>
      </c>
      <c r="F37" s="10">
        <f t="shared" si="5"/>
        <v>35.314954677341554</v>
      </c>
    </row>
    <row r="38" spans="1:6" ht="14.25">
      <c r="A38" s="6">
        <f>A37+1</f>
        <v>9</v>
      </c>
      <c r="B38" s="6">
        <v>8.49</v>
      </c>
      <c r="C38" s="10">
        <v>0.26865852400000001</v>
      </c>
      <c r="D38" s="10">
        <v>0.24940899999999999</v>
      </c>
      <c r="E38" s="10">
        <f t="shared" si="4"/>
        <v>31.601454045061306</v>
      </c>
      <c r="F38" s="10">
        <f t="shared" si="5"/>
        <v>34.040471675039797</v>
      </c>
    </row>
    <row r="39" spans="1:6" ht="14.25">
      <c r="A39" s="6">
        <f>A38+1</f>
        <v>10</v>
      </c>
      <c r="B39" s="6">
        <v>8.81</v>
      </c>
      <c r="C39" s="10">
        <v>0.27448665900000002</v>
      </c>
      <c r="D39" s="10">
        <v>0.25950299999999998</v>
      </c>
      <c r="E39" s="10">
        <f t="shared" si="4"/>
        <v>32.096277582656576</v>
      </c>
      <c r="F39" s="10">
        <f t="shared" si="5"/>
        <v>33.949511180988274</v>
      </c>
    </row>
    <row r="40" spans="1:6" ht="14.25">
      <c r="A40" s="2" t="s">
        <v>15</v>
      </c>
      <c r="B40" s="10">
        <f>AVERAGE(B30:B39)</f>
        <v>9.2309999999999999</v>
      </c>
      <c r="C40" s="10">
        <f>AVERAGE(C30:C39)</f>
        <v>0.28375420560000003</v>
      </c>
      <c r="D40" s="10">
        <f>AVERAGE(D30:D39)</f>
        <v>0.2646655</v>
      </c>
      <c r="E40" s="10">
        <f>AVERAGE(E30:E39)</f>
        <v>32.485427384369991</v>
      </c>
      <c r="F40" s="10">
        <f>AVERAGE(F30:F39)</f>
        <v>34.835551643628335</v>
      </c>
    </row>
  </sheetData>
  <mergeCells count="3">
    <mergeCell ref="A3:F3"/>
    <mergeCell ref="A16:F16"/>
    <mergeCell ref="A29:F29"/>
  </mergeCells>
  <pageMargins left="0.74805555555555603" right="0.74805555555555603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2026-09-15T15:07:43Z</dcterms:created>
  <dcterms:modified xsi:type="dcterms:W3CDTF">2026-09-27T21:35:24Z</dcterms:modified>
  <cp:category/>
  <cp:contentStatus/>
</cp:coreProperties>
</file>